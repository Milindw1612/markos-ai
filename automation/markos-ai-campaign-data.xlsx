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mpaign Overview" sheetId="2" state="visible" r:id="rId2"/>
    <sheet xmlns:r="http://schemas.openxmlformats.org/officeDocument/2006/relationships" name="Daily Performance - Current" sheetId="3" state="visible" r:id="rId3"/>
    <sheet xmlns:r="http://schemas.openxmlformats.org/officeDocument/2006/relationships" name="Daily Performance - Historical" sheetId="4" state="visible" r:id="rId4"/>
    <sheet xmlns:r="http://schemas.openxmlformats.org/officeDocument/2006/relationships" name="Creative Performance" sheetId="5" state="visible" r:id="rId5"/>
    <sheet xmlns:r="http://schemas.openxmlformats.org/officeDocument/2006/relationships" name="QoQ Le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&quot;x&quot;"/>
    <numFmt numFmtId="166" formatCode="+0.0%;-0.0%"/>
  </numFmts>
  <fonts count="7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6B7280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0" pivotButton="0" quotePrefix="0" xfId="0"/>
    <xf numFmtId="164" fontId="5" fillId="0" borderId="1" pivotButton="0" quotePrefix="0" xfId="0"/>
    <xf numFmtId="3" fontId="5" fillId="0" borderId="1" pivotButton="0" quotePrefix="0" xfId="0"/>
    <xf numFmtId="10" fontId="5" fillId="0" borderId="1" pivotButton="0" quotePrefix="0" xfId="0"/>
    <xf numFmtId="165" fontId="5" fillId="0" borderId="1" pivotButton="0" quotePrefix="0" xfId="0"/>
    <xf numFmtId="9" fontId="6" fillId="0" borderId="1" pivotButton="0" quotePrefix="0" xfId="0"/>
    <xf numFmtId="0" fontId="3" fillId="0" borderId="1" pivotButton="0" quotePrefix="0" xfId="0"/>
    <xf numFmtId="0" fontId="5" fillId="0" borderId="1" applyAlignment="1" pivotButton="0" quotePrefix="0" xfId="0">
      <alignment vertical="top" wrapText="1"/>
    </xf>
    <xf numFmtId="3" fontId="0" fillId="0" borderId="1" pivotButton="0" quotePrefix="0" xfId="0"/>
    <xf numFmtId="166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34" customWidth="1" min="4" max="4"/>
    <col width="26" customWidth="1" min="5" max="5"/>
    <col width="14" customWidth="1" min="6" max="6"/>
  </cols>
  <sheetData>
    <row r="1">
      <c r="A1" s="1" t="inlineStr">
        <is>
          <t>MarkOS AI -- Campaign Performance Dummy Dataset</t>
        </is>
      </c>
    </row>
    <row r="2">
      <c r="A2" s="2" t="inlineStr">
        <is>
          <t>Illustrative sample data built for the MarkOS AI portfolio project -- not a real business. See the live site: https://milindw1612.github.io/markos-ai/</t>
        </is>
      </c>
    </row>
    <row r="4">
      <c r="A4" s="3" t="inlineStr">
        <is>
          <t>Products in this workbook</t>
        </is>
      </c>
    </row>
    <row r="5">
      <c r="A5" s="4" t="inlineStr">
        <is>
          <t>Product</t>
        </is>
      </c>
      <c r="B5" s="4" t="inlineStr">
        <is>
          <t>Industry</t>
        </is>
      </c>
      <c r="C5" s="4" t="inlineStr">
        <is>
          <t>Funnel Type</t>
        </is>
      </c>
      <c r="D5" s="4" t="inlineStr">
        <is>
          <t>Channels</t>
        </is>
      </c>
      <c r="E5" s="4" t="inlineStr">
        <is>
          <t>Website (dummy)</t>
        </is>
      </c>
    </row>
    <row r="6">
      <c r="A6" s="5" t="inlineStr">
        <is>
          <t>Vantage CRM</t>
        </is>
      </c>
      <c r="B6" s="5" t="inlineStr">
        <is>
          <t>SaaS / B2B Tech</t>
        </is>
      </c>
      <c r="C6" s="5" t="inlineStr">
        <is>
          <t>B2B</t>
        </is>
      </c>
      <c r="D6" s="5" t="inlineStr">
        <is>
          <t>LinkedIn</t>
        </is>
      </c>
      <c r="E6" s="5" t="inlineStr">
        <is>
          <t>vantagecrm.example.com</t>
        </is>
      </c>
    </row>
    <row r="7">
      <c r="A7" s="5" t="inlineStr">
        <is>
          <t>Lumiere Skincare</t>
        </is>
      </c>
      <c r="B7" s="5" t="inlineStr">
        <is>
          <t>Beauty / Cosmetics</t>
        </is>
      </c>
      <c r="C7" s="5" t="inlineStr">
        <is>
          <t>B2C</t>
        </is>
      </c>
      <c r="D7" s="5" t="inlineStr">
        <is>
          <t>Instagram, Facebook, Pinterest</t>
        </is>
      </c>
      <c r="E7" s="5" t="inlineStr">
        <is>
          <t>lumiereskincare.example.com</t>
        </is>
      </c>
    </row>
    <row r="8">
      <c r="A8" s="5" t="inlineStr">
        <is>
          <t>Solara Fitband</t>
        </is>
      </c>
      <c r="B8" s="5" t="inlineStr">
        <is>
          <t>Consumer Electronics / Wearables</t>
        </is>
      </c>
      <c r="C8" s="5" t="inlineStr">
        <is>
          <t>B2C</t>
        </is>
      </c>
      <c r="D8" s="5" t="inlineStr">
        <is>
          <t>Google Ads, Facebook</t>
        </is>
      </c>
      <c r="E8" s="5" t="inlineStr">
        <is>
          <t>solarafitband.example.com</t>
        </is>
      </c>
    </row>
    <row r="9">
      <c r="A9" s="5" t="inlineStr">
        <is>
          <t>Aurelia Jewellery</t>
        </is>
      </c>
      <c r="B9" s="5" t="inlineStr">
        <is>
          <t>Luxury / Jewellery</t>
        </is>
      </c>
      <c r="C9" s="5" t="inlineStr">
        <is>
          <t>B2C</t>
        </is>
      </c>
      <c r="D9" s="5" t="inlineStr">
        <is>
          <t>Instagram, Pinterest, Google Ads</t>
        </is>
      </c>
      <c r="E9" s="5" t="inlineStr">
        <is>
          <t>aureliajewellery.example.com</t>
        </is>
      </c>
    </row>
    <row r="11">
      <c r="A11" s="3" t="inlineStr">
        <is>
          <t>Campaign windows</t>
        </is>
      </c>
    </row>
    <row r="12">
      <c r="A12" s="6" t="inlineStr">
        <is>
          <t>Current campaign: Aug 1, 2026 - Aug 31, 2026 (31 days)</t>
        </is>
      </c>
    </row>
    <row r="13">
      <c r="A13" s="6" t="inlineStr">
        <is>
          <t>Historical comparison campaign (previous quarter): May 1, 2026 - May 31, 2026 (31 days)</t>
        </is>
      </c>
    </row>
    <row r="15">
      <c r="A15" s="3" t="inlineStr">
        <is>
          <t>Column definitions (Sheets: Daily Performance - Current / Historical)</t>
        </is>
      </c>
    </row>
    <row r="16">
      <c r="A16" s="3" t="inlineStr">
        <is>
          <t>Date</t>
        </is>
      </c>
      <c r="B16" s="6" t="inlineStr">
        <is>
          <t>Calendar day of activity</t>
        </is>
      </c>
    </row>
    <row r="17">
      <c r="A17" s="3" t="inlineStr">
        <is>
          <t>Product / Industry / Funnel Type</t>
        </is>
      </c>
      <c r="B17" s="6" t="inlineStr">
        <is>
          <t>Which product, its industry, and whether it follows a B2B or B2C conversion funnel</t>
        </is>
      </c>
    </row>
    <row r="18">
      <c r="A18" s="3" t="inlineStr">
        <is>
          <t>Channel</t>
        </is>
      </c>
      <c r="B18" s="6" t="inlineStr">
        <is>
          <t>Ad platform the spend/results are attributed to</t>
        </is>
      </c>
    </row>
    <row r="19">
      <c r="A19" s="3" t="inlineStr">
        <is>
          <t>Website</t>
        </is>
      </c>
      <c r="B19" s="6" t="inlineStr">
        <is>
          <t>Dummy landing-page domain for this product (uses the .example reserved domain -- not a real, live site)</t>
        </is>
      </c>
    </row>
    <row r="20">
      <c r="A20" s="3" t="inlineStr">
        <is>
          <t>Spend</t>
        </is>
      </c>
      <c r="B20" s="6" t="inlineStr">
        <is>
          <t>Media spend for that channel that day, local currency</t>
        </is>
      </c>
    </row>
    <row r="21">
      <c r="A21" s="3" t="inlineStr">
        <is>
          <t>Impressions / Clicks / CTR</t>
        </is>
      </c>
      <c r="B21" s="6" t="inlineStr">
        <is>
          <t>Reach and click-through; CTR = Clicks / Impressions</t>
        </is>
      </c>
    </row>
    <row r="22">
      <c r="A22" s="3" t="inlineStr">
        <is>
          <t>Website Visits</t>
        </is>
      </c>
      <c r="B22" s="6" t="inlineStr">
        <is>
          <t>Sessions landing on the dummy website from this channel</t>
        </is>
      </c>
    </row>
    <row r="23">
      <c r="A23" s="3" t="inlineStr">
        <is>
          <t>Leads</t>
        </is>
      </c>
      <c r="B23" s="6" t="inlineStr">
        <is>
          <t>Top-of-funnel contact captured (form fill, sign-up, etc.) -- tracked for every product</t>
        </is>
      </c>
    </row>
    <row r="24">
      <c r="A24" s="3" t="inlineStr">
        <is>
          <t>MQL / SQL / Bookings (INR)</t>
        </is>
      </c>
      <c r="B24" s="6" t="inlineStr">
        <is>
          <t>B2B-only (Vantage CRM): Marketing Qualified Lead, Sales Qualified Lead, and closed contract value. 'N/A' for B2C products.</t>
        </is>
      </c>
    </row>
    <row r="25">
      <c r="A25" s="3" t="inlineStr">
        <is>
          <t>Conversions</t>
        </is>
      </c>
      <c r="B25" s="6" t="inlineStr">
        <is>
          <t>B2C-only: a completed purchase/order. 'N/A' for the B2B product (Vantage CRM), which uses Bookings instead.</t>
        </is>
      </c>
    </row>
    <row r="26">
      <c r="A26" s="3" t="inlineStr">
        <is>
          <t>CAC</t>
        </is>
      </c>
      <c r="B26" s="6" t="inlineStr">
        <is>
          <t>Customer Acquisition Cost = Spend / Leads</t>
        </is>
      </c>
    </row>
    <row r="27">
      <c r="A27" s="3" t="inlineStr">
        <is>
          <t>Revenue</t>
        </is>
      </c>
      <c r="B27" s="6" t="inlineStr">
        <is>
          <t>Attributed revenue for that channel that day (bookings-derived for Vantage CRM, order-value-derived for the other three)</t>
        </is>
      </c>
    </row>
    <row r="28">
      <c r="A28" s="3" t="inlineStr">
        <is>
          <t>ROAS</t>
        </is>
      </c>
      <c r="B28" s="6" t="inlineStr">
        <is>
          <t>Return on Ad Spend = Revenue / Spend</t>
        </is>
      </c>
    </row>
  </sheetData>
  <mergeCells count="15">
    <mergeCell ref="B21:F21"/>
    <mergeCell ref="A2:F2"/>
    <mergeCell ref="B24:F24"/>
    <mergeCell ref="B16:F16"/>
    <mergeCell ref="B20:F20"/>
    <mergeCell ref="A1:F1"/>
    <mergeCell ref="B25:F25"/>
    <mergeCell ref="B28:F28"/>
    <mergeCell ref="B19:F19"/>
    <mergeCell ref="B23:F23"/>
    <mergeCell ref="B22:F22"/>
    <mergeCell ref="B26:F26"/>
    <mergeCell ref="B17:F17"/>
    <mergeCell ref="B18:F18"/>
    <mergeCell ref="B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12" customWidth="1" min="4" max="4"/>
    <col width="12" customWidth="1" min="5" max="5"/>
    <col width="30" customWidth="1" min="6" max="6"/>
    <col width="20" customWidth="1" min="7" max="7"/>
    <col width="26" customWidth="1" min="8" max="8"/>
    <col width="30" customWidth="1" min="9" max="9"/>
  </cols>
  <sheetData>
    <row r="1">
      <c r="A1" s="4" t="inlineStr">
        <is>
          <t>Product</t>
        </is>
      </c>
      <c r="B1" s="4" t="inlineStr">
        <is>
          <t>Industry</t>
        </is>
      </c>
      <c r="C1" s="4" t="inlineStr">
        <is>
          <t>Campaign Name</t>
        </is>
      </c>
      <c r="D1" s="4" t="inlineStr">
        <is>
          <t>Start Date</t>
        </is>
      </c>
      <c r="E1" s="4" t="inlineStr">
        <is>
          <t>End Date</t>
        </is>
      </c>
      <c r="F1" s="4" t="inlineStr">
        <is>
          <t>Channels</t>
        </is>
      </c>
      <c r="G1" s="4" t="inlineStr">
        <is>
          <t>Total Budget (Current, INR)</t>
        </is>
      </c>
      <c r="H1" s="4" t="inlineStr">
        <is>
          <t>Website URL</t>
        </is>
      </c>
      <c r="I1" s="4" t="inlineStr">
        <is>
          <t>Creative Types Used</t>
        </is>
      </c>
    </row>
    <row r="2">
      <c r="A2" s="5" t="inlineStr">
        <is>
          <t>Vantage CRM</t>
        </is>
      </c>
      <c r="B2" s="5" t="inlineStr">
        <is>
          <t>SaaS / B2B Tech</t>
        </is>
      </c>
      <c r="C2" s="5" t="inlineStr">
        <is>
          <t>Vantage CRM -- August Growth Push</t>
        </is>
      </c>
      <c r="D2" s="7" t="n">
        <v>46235</v>
      </c>
      <c r="E2" s="7" t="n">
        <v>46265</v>
      </c>
      <c r="F2" s="5" t="inlineStr">
        <is>
          <t>LinkedIn</t>
        </is>
      </c>
      <c r="G2" s="8">
        <f>SUMIF('Daily Performance - Current'!$B:$B,A2,'Daily Performance - Current'!$G:$G)</f>
        <v/>
      </c>
      <c r="H2" s="5" t="inlineStr">
        <is>
          <t>vantagecrm.example.com</t>
        </is>
      </c>
      <c r="I2" s="5" t="inlineStr">
        <is>
          <t>Text 45%, Image 35%, Video 20%</t>
        </is>
      </c>
    </row>
    <row r="3">
      <c r="A3" s="5" t="inlineStr">
        <is>
          <t>Lumiere Skincare</t>
        </is>
      </c>
      <c r="B3" s="5" t="inlineStr">
        <is>
          <t>Beauty / Cosmetics</t>
        </is>
      </c>
      <c r="C3" s="5" t="inlineStr">
        <is>
          <t>Lumiere Skincare -- August Growth Push</t>
        </is>
      </c>
      <c r="D3" s="7" t="n">
        <v>46235</v>
      </c>
      <c r="E3" s="7" t="n">
        <v>46265</v>
      </c>
      <c r="F3" s="5" t="inlineStr">
        <is>
          <t>Instagram, Facebook, Pinterest</t>
        </is>
      </c>
      <c r="G3" s="8">
        <f>SUMIF('Daily Performance - Current'!$B:$B,A3,'Daily Performance - Current'!$G:$G)</f>
        <v/>
      </c>
      <c r="H3" s="5" t="inlineStr">
        <is>
          <t>lumiereskincare.example.com</t>
        </is>
      </c>
      <c r="I3" s="5" t="inlineStr">
        <is>
          <t>Text 20%, Image 40%, Video 40%</t>
        </is>
      </c>
    </row>
    <row r="4">
      <c r="A4" s="5" t="inlineStr">
        <is>
          <t>Solara Fitband</t>
        </is>
      </c>
      <c r="B4" s="5" t="inlineStr">
        <is>
          <t>Consumer Electronics / Wearables</t>
        </is>
      </c>
      <c r="C4" s="5" t="inlineStr">
        <is>
          <t>Solara Fitband -- August Growth Push</t>
        </is>
      </c>
      <c r="D4" s="7" t="n">
        <v>46235</v>
      </c>
      <c r="E4" s="7" t="n">
        <v>46265</v>
      </c>
      <c r="F4" s="5" t="inlineStr">
        <is>
          <t>Google Ads, Facebook</t>
        </is>
      </c>
      <c r="G4" s="8">
        <f>SUMIF('Daily Performance - Current'!$B:$B,A4,'Daily Performance - Current'!$G:$G)</f>
        <v/>
      </c>
      <c r="H4" s="5" t="inlineStr">
        <is>
          <t>solarafitband.example.com</t>
        </is>
      </c>
      <c r="I4" s="5" t="inlineStr">
        <is>
          <t>Text 20%, Image 35%, Video 45%</t>
        </is>
      </c>
    </row>
    <row r="5">
      <c r="A5" s="5" t="inlineStr">
        <is>
          <t>Aurelia Jewellery</t>
        </is>
      </c>
      <c r="B5" s="5" t="inlineStr">
        <is>
          <t>Luxury / Jewellery</t>
        </is>
      </c>
      <c r="C5" s="5" t="inlineStr">
        <is>
          <t>Aurelia Jewellery -- August Growth Push</t>
        </is>
      </c>
      <c r="D5" s="7" t="n">
        <v>46235</v>
      </c>
      <c r="E5" s="7" t="n">
        <v>46265</v>
      </c>
      <c r="F5" s="5" t="inlineStr">
        <is>
          <t>Instagram, Pinterest, Google Ads</t>
        </is>
      </c>
      <c r="G5" s="8">
        <f>SUMIF('Daily Performance - Current'!$B:$B,A5,'Daily Performance - Current'!$G:$G)</f>
        <v/>
      </c>
      <c r="H5" s="5" t="inlineStr">
        <is>
          <t>aureliajewellery.example.com</t>
        </is>
      </c>
      <c r="I5" s="5" t="inlineStr">
        <is>
          <t>Text 15%, Image 40%, Video 45%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2" customWidth="1" min="4" max="4"/>
    <col width="12" customWidth="1" min="5" max="5"/>
    <col width="26" customWidth="1" min="6" max="6"/>
    <col width="10" customWidth="1" min="7" max="7"/>
    <col width="12" customWidth="1" min="8" max="8"/>
    <col width="9" customWidth="1" min="9" max="9"/>
    <col width="9" customWidth="1" min="10" max="10"/>
    <col width="12" customWidth="1" min="11" max="11"/>
    <col width="8" customWidth="1" min="12" max="12"/>
    <col width="8" customWidth="1" min="13" max="13"/>
    <col width="8" customWidth="1" min="14" max="14"/>
    <col width="14" customWidth="1" min="15" max="15"/>
    <col width="12" customWidth="1" min="16" max="16"/>
    <col width="10" customWidth="1" min="17" max="17"/>
    <col width="12" customWidth="1" min="18" max="18"/>
    <col width="9" customWidth="1" min="19" max="19"/>
  </cols>
  <sheetData>
    <row r="1">
      <c r="A1" s="4" t="inlineStr">
        <is>
          <t>Date</t>
        </is>
      </c>
      <c r="B1" s="4" t="inlineStr">
        <is>
          <t>Product</t>
        </is>
      </c>
      <c r="C1" s="4" t="inlineStr">
        <is>
          <t>Industry</t>
        </is>
      </c>
      <c r="D1" s="4" t="inlineStr">
        <is>
          <t>Funnel Type</t>
        </is>
      </c>
      <c r="E1" s="4" t="inlineStr">
        <is>
          <t>Channel</t>
        </is>
      </c>
      <c r="F1" s="4" t="inlineStr">
        <is>
          <t>Website</t>
        </is>
      </c>
      <c r="G1" s="4" t="inlineStr">
        <is>
          <t>Spend</t>
        </is>
      </c>
      <c r="H1" s="4" t="inlineStr">
        <is>
          <t>Impressions</t>
        </is>
      </c>
      <c r="I1" s="4" t="inlineStr">
        <is>
          <t>Clicks</t>
        </is>
      </c>
      <c r="J1" s="4" t="inlineStr">
        <is>
          <t>CTR</t>
        </is>
      </c>
      <c r="K1" s="4" t="inlineStr">
        <is>
          <t>Website Visits</t>
        </is>
      </c>
      <c r="L1" s="4" t="inlineStr">
        <is>
          <t>Leads</t>
        </is>
      </c>
      <c r="M1" s="4" t="inlineStr">
        <is>
          <t>MQL</t>
        </is>
      </c>
      <c r="N1" s="4" t="inlineStr">
        <is>
          <t>SQL</t>
        </is>
      </c>
      <c r="O1" s="4" t="inlineStr">
        <is>
          <t>Bookings (INR)</t>
        </is>
      </c>
      <c r="P1" s="4" t="inlineStr">
        <is>
          <t>Conversions</t>
        </is>
      </c>
      <c r="Q1" s="4" t="inlineStr">
        <is>
          <t>CAC</t>
        </is>
      </c>
      <c r="R1" s="4" t="inlineStr">
        <is>
          <t>Revenue</t>
        </is>
      </c>
      <c r="S1" s="4" t="inlineStr">
        <is>
          <t>ROAS</t>
        </is>
      </c>
    </row>
    <row r="2">
      <c r="A2" s="7" t="n">
        <v>46235</v>
      </c>
      <c r="B2" s="5" t="inlineStr">
        <is>
          <t>Vantage CRM</t>
        </is>
      </c>
      <c r="C2" s="5" t="inlineStr">
        <is>
          <t>SaaS / B2B Tech</t>
        </is>
      </c>
      <c r="D2" s="5" t="inlineStr">
        <is>
          <t>B2B</t>
        </is>
      </c>
      <c r="E2" s="5" t="inlineStr">
        <is>
          <t>LinkedIn</t>
        </is>
      </c>
      <c r="F2" s="5" t="inlineStr">
        <is>
          <t>vantagecrm.example.com</t>
        </is>
      </c>
      <c r="G2" s="8" t="n">
        <v>3677</v>
      </c>
      <c r="H2" s="8" t="n">
        <v>4082</v>
      </c>
      <c r="I2" s="8" t="n">
        <v>86</v>
      </c>
      <c r="J2" s="9">
        <f>I2/H2</f>
        <v/>
      </c>
      <c r="K2" s="8" t="n">
        <v>82</v>
      </c>
      <c r="L2" s="8" t="n">
        <v>3</v>
      </c>
      <c r="M2" s="5" t="n">
        <v>3</v>
      </c>
      <c r="N2" s="5" t="n">
        <v>3</v>
      </c>
      <c r="O2" s="8" t="n">
        <v>42000</v>
      </c>
      <c r="P2" s="5" t="inlineStr">
        <is>
          <t>N/A</t>
        </is>
      </c>
      <c r="Q2" s="8">
        <f>IFERROR(G2/L2,0)</f>
        <v/>
      </c>
      <c r="R2" s="8" t="n">
        <v>45090</v>
      </c>
      <c r="S2" s="10">
        <f>IFERROR(R2/G2,0)</f>
        <v/>
      </c>
    </row>
    <row r="3">
      <c r="A3" s="7" t="n">
        <v>46236</v>
      </c>
      <c r="B3" s="5" t="inlineStr">
        <is>
          <t>Vantage CRM</t>
        </is>
      </c>
      <c r="C3" s="5" t="inlineStr">
        <is>
          <t>SaaS / B2B Tech</t>
        </is>
      </c>
      <c r="D3" s="5" t="inlineStr">
        <is>
          <t>B2B</t>
        </is>
      </c>
      <c r="E3" s="5" t="inlineStr">
        <is>
          <t>LinkedIn</t>
        </is>
      </c>
      <c r="F3" s="5" t="inlineStr">
        <is>
          <t>vantagecrm.example.com</t>
        </is>
      </c>
      <c r="G3" s="8" t="n">
        <v>3338</v>
      </c>
      <c r="H3" s="8" t="n">
        <v>0</v>
      </c>
      <c r="I3" s="8" t="n">
        <v>0</v>
      </c>
      <c r="J3" s="9">
        <f>I3/H3</f>
        <v/>
      </c>
      <c r="K3" s="8" t="n">
        <v>0</v>
      </c>
      <c r="L3" s="8" t="n">
        <v>0</v>
      </c>
      <c r="M3" s="5" t="n">
        <v>0</v>
      </c>
      <c r="N3" s="5" t="n">
        <v>0</v>
      </c>
      <c r="O3" s="8" t="n">
        <v>0</v>
      </c>
      <c r="P3" s="5" t="inlineStr">
        <is>
          <t>N/A</t>
        </is>
      </c>
      <c r="Q3" s="8">
        <f>IFERROR(G3/L3,0)</f>
        <v/>
      </c>
      <c r="R3" s="8" t="n">
        <v>0</v>
      </c>
      <c r="S3" s="10">
        <f>IFERROR(R3/G3,0)</f>
        <v/>
      </c>
    </row>
    <row r="4">
      <c r="A4" s="7" t="n">
        <v>46237</v>
      </c>
      <c r="B4" s="5" t="inlineStr">
        <is>
          <t>Vantage CRM</t>
        </is>
      </c>
      <c r="C4" s="5" t="inlineStr">
        <is>
          <t>SaaS / B2B Tech</t>
        </is>
      </c>
      <c r="D4" s="5" t="inlineStr">
        <is>
          <t>B2B</t>
        </is>
      </c>
      <c r="E4" s="5" t="inlineStr">
        <is>
          <t>LinkedIn</t>
        </is>
      </c>
      <c r="F4" s="5" t="inlineStr">
        <is>
          <t>vantagecrm.example.com</t>
        </is>
      </c>
      <c r="G4" s="8" t="n">
        <v>3789</v>
      </c>
      <c r="H4" s="8" t="n">
        <v>1361</v>
      </c>
      <c r="I4" s="8" t="n">
        <v>29</v>
      </c>
      <c r="J4" s="9">
        <f>I4/H4</f>
        <v/>
      </c>
      <c r="K4" s="8" t="n">
        <v>26</v>
      </c>
      <c r="L4" s="8" t="n">
        <v>1</v>
      </c>
      <c r="M4" s="5" t="n">
        <v>1</v>
      </c>
      <c r="N4" s="5" t="n">
        <v>0</v>
      </c>
      <c r="O4" s="8" t="n">
        <v>0</v>
      </c>
      <c r="P4" s="5" t="inlineStr">
        <is>
          <t>N/A</t>
        </is>
      </c>
      <c r="Q4" s="8">
        <f>IFERROR(G4/L4,0)</f>
        <v/>
      </c>
      <c r="R4" s="8" t="n">
        <v>0</v>
      </c>
      <c r="S4" s="10">
        <f>IFERROR(R4/G4,0)</f>
        <v/>
      </c>
    </row>
    <row r="5">
      <c r="A5" s="7" t="n">
        <v>46238</v>
      </c>
      <c r="B5" s="5" t="inlineStr">
        <is>
          <t>Vantage CRM</t>
        </is>
      </c>
      <c r="C5" s="5" t="inlineStr">
        <is>
          <t>SaaS / B2B Tech</t>
        </is>
      </c>
      <c r="D5" s="5" t="inlineStr">
        <is>
          <t>B2B</t>
        </is>
      </c>
      <c r="E5" s="5" t="inlineStr">
        <is>
          <t>LinkedIn</t>
        </is>
      </c>
      <c r="F5" s="5" t="inlineStr">
        <is>
          <t>vantagecrm.example.com</t>
        </is>
      </c>
      <c r="G5" s="8" t="n">
        <v>3837</v>
      </c>
      <c r="H5" s="8" t="n">
        <v>4082</v>
      </c>
      <c r="I5" s="8" t="n">
        <v>86</v>
      </c>
      <c r="J5" s="9">
        <f>I5/H5</f>
        <v/>
      </c>
      <c r="K5" s="8" t="n">
        <v>80</v>
      </c>
      <c r="L5" s="8" t="n">
        <v>3</v>
      </c>
      <c r="M5" s="5" t="n">
        <v>3</v>
      </c>
      <c r="N5" s="5" t="n">
        <v>0</v>
      </c>
      <c r="O5" s="8" t="n">
        <v>0</v>
      </c>
      <c r="P5" s="5" t="inlineStr">
        <is>
          <t>N/A</t>
        </is>
      </c>
      <c r="Q5" s="8">
        <f>IFERROR(G5/L5,0)</f>
        <v/>
      </c>
      <c r="R5" s="8" t="n">
        <v>0</v>
      </c>
      <c r="S5" s="10">
        <f>IFERROR(R5/G5,0)</f>
        <v/>
      </c>
    </row>
    <row r="6">
      <c r="A6" s="7" t="n">
        <v>46239</v>
      </c>
      <c r="B6" s="5" t="inlineStr">
        <is>
          <t>Vantage CRM</t>
        </is>
      </c>
      <c r="C6" s="5" t="inlineStr">
        <is>
          <t>SaaS / B2B Tech</t>
        </is>
      </c>
      <c r="D6" s="5" t="inlineStr">
        <is>
          <t>B2B</t>
        </is>
      </c>
      <c r="E6" s="5" t="inlineStr">
        <is>
          <t>LinkedIn</t>
        </is>
      </c>
      <c r="F6" s="5" t="inlineStr">
        <is>
          <t>vantagecrm.example.com</t>
        </is>
      </c>
      <c r="G6" s="8" t="n">
        <v>3108</v>
      </c>
      <c r="H6" s="8" t="n">
        <v>1361</v>
      </c>
      <c r="I6" s="8" t="n">
        <v>29</v>
      </c>
      <c r="J6" s="9">
        <f>I6/H6</f>
        <v/>
      </c>
      <c r="K6" s="8" t="n">
        <v>28</v>
      </c>
      <c r="L6" s="8" t="n">
        <v>1</v>
      </c>
      <c r="M6" s="5" t="n">
        <v>1</v>
      </c>
      <c r="N6" s="5" t="n">
        <v>1</v>
      </c>
      <c r="O6" s="8" t="n">
        <v>0</v>
      </c>
      <c r="P6" s="5" t="inlineStr">
        <is>
          <t>N/A</t>
        </is>
      </c>
      <c r="Q6" s="8">
        <f>IFERROR(G6/L6,0)</f>
        <v/>
      </c>
      <c r="R6" s="8" t="n">
        <v>0</v>
      </c>
      <c r="S6" s="10">
        <f>IFERROR(R6/G6,0)</f>
        <v/>
      </c>
    </row>
    <row r="7">
      <c r="A7" s="7" t="n">
        <v>46240</v>
      </c>
      <c r="B7" s="5" t="inlineStr">
        <is>
          <t>Vantage CRM</t>
        </is>
      </c>
      <c r="C7" s="5" t="inlineStr">
        <is>
          <t>SaaS / B2B Tech</t>
        </is>
      </c>
      <c r="D7" s="5" t="inlineStr">
        <is>
          <t>B2B</t>
        </is>
      </c>
      <c r="E7" s="5" t="inlineStr">
        <is>
          <t>LinkedIn</t>
        </is>
      </c>
      <c r="F7" s="5" t="inlineStr">
        <is>
          <t>vantagecrm.example.com</t>
        </is>
      </c>
      <c r="G7" s="8" t="n">
        <v>3272</v>
      </c>
      <c r="H7" s="8" t="n">
        <v>5442</v>
      </c>
      <c r="I7" s="8" t="n">
        <v>114</v>
      </c>
      <c r="J7" s="9">
        <f>I7/H7</f>
        <v/>
      </c>
      <c r="K7" s="8" t="n">
        <v>106</v>
      </c>
      <c r="L7" s="8" t="n">
        <v>4</v>
      </c>
      <c r="M7" s="5" t="n">
        <v>4</v>
      </c>
      <c r="N7" s="5" t="n">
        <v>2</v>
      </c>
      <c r="O7" s="8" t="n">
        <v>42000</v>
      </c>
      <c r="P7" s="5" t="inlineStr">
        <is>
          <t>N/A</t>
        </is>
      </c>
      <c r="Q7" s="8">
        <f>IFERROR(G7/L7,0)</f>
        <v/>
      </c>
      <c r="R7" s="8" t="n">
        <v>45559</v>
      </c>
      <c r="S7" s="10">
        <f>IFERROR(R7/G7,0)</f>
        <v/>
      </c>
    </row>
    <row r="8">
      <c r="A8" s="7" t="n">
        <v>46241</v>
      </c>
      <c r="B8" s="5" t="inlineStr">
        <is>
          <t>Vantage CRM</t>
        </is>
      </c>
      <c r="C8" s="5" t="inlineStr">
        <is>
          <t>SaaS / B2B Tech</t>
        </is>
      </c>
      <c r="D8" s="5" t="inlineStr">
        <is>
          <t>B2B</t>
        </is>
      </c>
      <c r="E8" s="5" t="inlineStr">
        <is>
          <t>LinkedIn</t>
        </is>
      </c>
      <c r="F8" s="5" t="inlineStr">
        <is>
          <t>vantagecrm.example.com</t>
        </is>
      </c>
      <c r="G8" s="8" t="n">
        <v>3632</v>
      </c>
      <c r="H8" s="8" t="n">
        <v>2721</v>
      </c>
      <c r="I8" s="8" t="n">
        <v>57</v>
      </c>
      <c r="J8" s="9">
        <f>I8/H8</f>
        <v/>
      </c>
      <c r="K8" s="8" t="n">
        <v>52</v>
      </c>
      <c r="L8" s="8" t="n">
        <v>2</v>
      </c>
      <c r="M8" s="5" t="n">
        <v>2</v>
      </c>
      <c r="N8" s="5" t="n">
        <v>2</v>
      </c>
      <c r="O8" s="8" t="n">
        <v>0</v>
      </c>
      <c r="P8" s="5" t="inlineStr">
        <is>
          <t>N/A</t>
        </is>
      </c>
      <c r="Q8" s="8">
        <f>IFERROR(G8/L8,0)</f>
        <v/>
      </c>
      <c r="R8" s="8" t="n">
        <v>0</v>
      </c>
      <c r="S8" s="10">
        <f>IFERROR(R8/G8,0)</f>
        <v/>
      </c>
    </row>
    <row r="9">
      <c r="A9" s="7" t="n">
        <v>46242</v>
      </c>
      <c r="B9" s="5" t="inlineStr">
        <is>
          <t>Vantage CRM</t>
        </is>
      </c>
      <c r="C9" s="5" t="inlineStr">
        <is>
          <t>SaaS / B2B Tech</t>
        </is>
      </c>
      <c r="D9" s="5" t="inlineStr">
        <is>
          <t>B2B</t>
        </is>
      </c>
      <c r="E9" s="5" t="inlineStr">
        <is>
          <t>LinkedIn</t>
        </is>
      </c>
      <c r="F9" s="5" t="inlineStr">
        <is>
          <t>vantagecrm.example.com</t>
        </is>
      </c>
      <c r="G9" s="8" t="n">
        <v>3520</v>
      </c>
      <c r="H9" s="8" t="n">
        <v>0</v>
      </c>
      <c r="I9" s="8" t="n">
        <v>0</v>
      </c>
      <c r="J9" s="9">
        <f>I9/H9</f>
        <v/>
      </c>
      <c r="K9" s="8" t="n">
        <v>0</v>
      </c>
      <c r="L9" s="8" t="n">
        <v>0</v>
      </c>
      <c r="M9" s="5" t="n">
        <v>0</v>
      </c>
      <c r="N9" s="5" t="n">
        <v>0</v>
      </c>
      <c r="O9" s="8" t="n">
        <v>0</v>
      </c>
      <c r="P9" s="5" t="inlineStr">
        <is>
          <t>N/A</t>
        </is>
      </c>
      <c r="Q9" s="8">
        <f>IFERROR(G9/L9,0)</f>
        <v/>
      </c>
      <c r="R9" s="8" t="n">
        <v>0</v>
      </c>
      <c r="S9" s="10">
        <f>IFERROR(R9/G9,0)</f>
        <v/>
      </c>
    </row>
    <row r="10">
      <c r="A10" s="7" t="n">
        <v>46243</v>
      </c>
      <c r="B10" s="5" t="inlineStr">
        <is>
          <t>Vantage CRM</t>
        </is>
      </c>
      <c r="C10" s="5" t="inlineStr">
        <is>
          <t>SaaS / B2B Tech</t>
        </is>
      </c>
      <c r="D10" s="5" t="inlineStr">
        <is>
          <t>B2B</t>
        </is>
      </c>
      <c r="E10" s="5" t="inlineStr">
        <is>
          <t>LinkedIn</t>
        </is>
      </c>
      <c r="F10" s="5" t="inlineStr">
        <is>
          <t>vantagecrm.example.com</t>
        </is>
      </c>
      <c r="G10" s="8" t="n">
        <v>3596</v>
      </c>
      <c r="H10" s="8" t="n">
        <v>2721</v>
      </c>
      <c r="I10" s="8" t="n">
        <v>57</v>
      </c>
      <c r="J10" s="9">
        <f>I10/H10</f>
        <v/>
      </c>
      <c r="K10" s="8" t="n">
        <v>52</v>
      </c>
      <c r="L10" s="8" t="n">
        <v>2</v>
      </c>
      <c r="M10" s="5" t="n">
        <v>2</v>
      </c>
      <c r="N10" s="5" t="n">
        <v>2</v>
      </c>
      <c r="O10" s="8" t="n">
        <v>0</v>
      </c>
      <c r="P10" s="5" t="inlineStr">
        <is>
          <t>N/A</t>
        </is>
      </c>
      <c r="Q10" s="8">
        <f>IFERROR(G10/L10,0)</f>
        <v/>
      </c>
      <c r="R10" s="8" t="n">
        <v>0</v>
      </c>
      <c r="S10" s="10">
        <f>IFERROR(R10/G10,0)</f>
        <v/>
      </c>
    </row>
    <row r="11">
      <c r="A11" s="7" t="n">
        <v>46244</v>
      </c>
      <c r="B11" s="5" t="inlineStr">
        <is>
          <t>Vantage CRM</t>
        </is>
      </c>
      <c r="C11" s="5" t="inlineStr">
        <is>
          <t>SaaS / B2B Tech</t>
        </is>
      </c>
      <c r="D11" s="5" t="inlineStr">
        <is>
          <t>B2B</t>
        </is>
      </c>
      <c r="E11" s="5" t="inlineStr">
        <is>
          <t>LinkedIn</t>
        </is>
      </c>
      <c r="F11" s="5" t="inlineStr">
        <is>
          <t>vantagecrm.example.com</t>
        </is>
      </c>
      <c r="G11" s="8" t="n">
        <v>3385</v>
      </c>
      <c r="H11" s="8" t="n">
        <v>1361</v>
      </c>
      <c r="I11" s="8" t="n">
        <v>29</v>
      </c>
      <c r="J11" s="9">
        <f>I11/H11</f>
        <v/>
      </c>
      <c r="K11" s="8" t="n">
        <v>27</v>
      </c>
      <c r="L11" s="8" t="n">
        <v>1</v>
      </c>
      <c r="M11" s="5" t="n">
        <v>1</v>
      </c>
      <c r="N11" s="5" t="n">
        <v>0</v>
      </c>
      <c r="O11" s="8" t="n">
        <v>0</v>
      </c>
      <c r="P11" s="5" t="inlineStr">
        <is>
          <t>N/A</t>
        </is>
      </c>
      <c r="Q11" s="8">
        <f>IFERROR(G11/L11,0)</f>
        <v/>
      </c>
      <c r="R11" s="8" t="n">
        <v>0</v>
      </c>
      <c r="S11" s="10">
        <f>IFERROR(R11/G11,0)</f>
        <v/>
      </c>
    </row>
    <row r="12">
      <c r="A12" s="7" t="n">
        <v>46245</v>
      </c>
      <c r="B12" s="5" t="inlineStr">
        <is>
          <t>Vantage CRM</t>
        </is>
      </c>
      <c r="C12" s="5" t="inlineStr">
        <is>
          <t>SaaS / B2B Tech</t>
        </is>
      </c>
      <c r="D12" s="5" t="inlineStr">
        <is>
          <t>B2B</t>
        </is>
      </c>
      <c r="E12" s="5" t="inlineStr">
        <is>
          <t>LinkedIn</t>
        </is>
      </c>
      <c r="F12" s="5" t="inlineStr">
        <is>
          <t>vantagecrm.example.com</t>
        </is>
      </c>
      <c r="G12" s="8" t="n">
        <v>3822</v>
      </c>
      <c r="H12" s="8" t="n">
        <v>4082</v>
      </c>
      <c r="I12" s="8" t="n">
        <v>86</v>
      </c>
      <c r="J12" s="9">
        <f>I12/H12</f>
        <v/>
      </c>
      <c r="K12" s="8" t="n">
        <v>83</v>
      </c>
      <c r="L12" s="8" t="n">
        <v>3</v>
      </c>
      <c r="M12" s="5" t="n">
        <v>3</v>
      </c>
      <c r="N12" s="5" t="n">
        <v>3</v>
      </c>
      <c r="O12" s="8" t="n">
        <v>42000</v>
      </c>
      <c r="P12" s="5" t="inlineStr">
        <is>
          <t>N/A</t>
        </is>
      </c>
      <c r="Q12" s="8">
        <f>IFERROR(G12/L12,0)</f>
        <v/>
      </c>
      <c r="R12" s="8" t="n">
        <v>40960</v>
      </c>
      <c r="S12" s="10">
        <f>IFERROR(R12/G12,0)</f>
        <v/>
      </c>
    </row>
    <row r="13">
      <c r="A13" s="7" t="n">
        <v>46246</v>
      </c>
      <c r="B13" s="5" t="inlineStr">
        <is>
          <t>Vantage CRM</t>
        </is>
      </c>
      <c r="C13" s="5" t="inlineStr">
        <is>
          <t>SaaS / B2B Tech</t>
        </is>
      </c>
      <c r="D13" s="5" t="inlineStr">
        <is>
          <t>B2B</t>
        </is>
      </c>
      <c r="E13" s="5" t="inlineStr">
        <is>
          <t>LinkedIn</t>
        </is>
      </c>
      <c r="F13" s="5" t="inlineStr">
        <is>
          <t>vantagecrm.example.com</t>
        </is>
      </c>
      <c r="G13" s="8" t="n">
        <v>3796</v>
      </c>
      <c r="H13" s="8" t="n">
        <v>2721</v>
      </c>
      <c r="I13" s="8" t="n">
        <v>57</v>
      </c>
      <c r="J13" s="9">
        <f>I13/H13</f>
        <v/>
      </c>
      <c r="K13" s="8" t="n">
        <v>52</v>
      </c>
      <c r="L13" s="8" t="n">
        <v>2</v>
      </c>
      <c r="M13" s="5" t="n">
        <v>2</v>
      </c>
      <c r="N13" s="5" t="n">
        <v>1</v>
      </c>
      <c r="O13" s="8" t="n">
        <v>0</v>
      </c>
      <c r="P13" s="5" t="inlineStr">
        <is>
          <t>N/A</t>
        </is>
      </c>
      <c r="Q13" s="8">
        <f>IFERROR(G13/L13,0)</f>
        <v/>
      </c>
      <c r="R13" s="8" t="n">
        <v>0</v>
      </c>
      <c r="S13" s="10">
        <f>IFERROR(R13/G13,0)</f>
        <v/>
      </c>
    </row>
    <row r="14">
      <c r="A14" s="7" t="n">
        <v>46247</v>
      </c>
      <c r="B14" s="5" t="inlineStr">
        <is>
          <t>Vantage CRM</t>
        </is>
      </c>
      <c r="C14" s="5" t="inlineStr">
        <is>
          <t>SaaS / B2B Tech</t>
        </is>
      </c>
      <c r="D14" s="5" t="inlineStr">
        <is>
          <t>B2B</t>
        </is>
      </c>
      <c r="E14" s="5" t="inlineStr">
        <is>
          <t>LinkedIn</t>
        </is>
      </c>
      <c r="F14" s="5" t="inlineStr">
        <is>
          <t>vantagecrm.example.com</t>
        </is>
      </c>
      <c r="G14" s="8" t="n">
        <v>3617</v>
      </c>
      <c r="H14" s="8" t="n">
        <v>4082</v>
      </c>
      <c r="I14" s="8" t="n">
        <v>86</v>
      </c>
      <c r="J14" s="9">
        <f>I14/H14</f>
        <v/>
      </c>
      <c r="K14" s="8" t="n">
        <v>76</v>
      </c>
      <c r="L14" s="8" t="n">
        <v>3</v>
      </c>
      <c r="M14" s="5" t="n">
        <v>3</v>
      </c>
      <c r="N14" s="5" t="n">
        <v>1</v>
      </c>
      <c r="O14" s="8" t="n">
        <v>0</v>
      </c>
      <c r="P14" s="5" t="inlineStr">
        <is>
          <t>N/A</t>
        </is>
      </c>
      <c r="Q14" s="8">
        <f>IFERROR(G14/L14,0)</f>
        <v/>
      </c>
      <c r="R14" s="8" t="n">
        <v>0</v>
      </c>
      <c r="S14" s="10">
        <f>IFERROR(R14/G14,0)</f>
        <v/>
      </c>
    </row>
    <row r="15">
      <c r="A15" s="7" t="n">
        <v>46248</v>
      </c>
      <c r="B15" s="5" t="inlineStr">
        <is>
          <t>Vantage CRM</t>
        </is>
      </c>
      <c r="C15" s="5" t="inlineStr">
        <is>
          <t>SaaS / B2B Tech</t>
        </is>
      </c>
      <c r="D15" s="5" t="inlineStr">
        <is>
          <t>B2B</t>
        </is>
      </c>
      <c r="E15" s="5" t="inlineStr">
        <is>
          <t>LinkedIn</t>
        </is>
      </c>
      <c r="F15" s="5" t="inlineStr">
        <is>
          <t>vantagecrm.example.com</t>
        </is>
      </c>
      <c r="G15" s="8" t="n">
        <v>3884</v>
      </c>
      <c r="H15" s="8" t="n">
        <v>5442</v>
      </c>
      <c r="I15" s="8" t="n">
        <v>114</v>
      </c>
      <c r="J15" s="9">
        <f>I15/H15</f>
        <v/>
      </c>
      <c r="K15" s="8" t="n">
        <v>101</v>
      </c>
      <c r="L15" s="8" t="n">
        <v>4</v>
      </c>
      <c r="M15" s="5" t="n">
        <v>4</v>
      </c>
      <c r="N15" s="5" t="n">
        <v>1</v>
      </c>
      <c r="O15" s="8" t="n">
        <v>0</v>
      </c>
      <c r="P15" s="5" t="inlineStr">
        <is>
          <t>N/A</t>
        </is>
      </c>
      <c r="Q15" s="8">
        <f>IFERROR(G15/L15,0)</f>
        <v/>
      </c>
      <c r="R15" s="8" t="n">
        <v>0</v>
      </c>
      <c r="S15" s="10">
        <f>IFERROR(R15/G15,0)</f>
        <v/>
      </c>
    </row>
    <row r="16">
      <c r="A16" s="7" t="n">
        <v>46249</v>
      </c>
      <c r="B16" s="5" t="inlineStr">
        <is>
          <t>Vantage CRM</t>
        </is>
      </c>
      <c r="C16" s="5" t="inlineStr">
        <is>
          <t>SaaS / B2B Tech</t>
        </is>
      </c>
      <c r="D16" s="5" t="inlineStr">
        <is>
          <t>B2B</t>
        </is>
      </c>
      <c r="E16" s="5" t="inlineStr">
        <is>
          <t>LinkedIn</t>
        </is>
      </c>
      <c r="F16" s="5" t="inlineStr">
        <is>
          <t>vantagecrm.example.com</t>
        </is>
      </c>
      <c r="G16" s="8" t="n">
        <v>3718</v>
      </c>
      <c r="H16" s="8" t="n">
        <v>1361</v>
      </c>
      <c r="I16" s="8" t="n">
        <v>29</v>
      </c>
      <c r="J16" s="9">
        <f>I16/H16</f>
        <v/>
      </c>
      <c r="K16" s="8" t="n">
        <v>27</v>
      </c>
      <c r="L16" s="8" t="n">
        <v>1</v>
      </c>
      <c r="M16" s="5" t="n">
        <v>1</v>
      </c>
      <c r="N16" s="5" t="n">
        <v>1</v>
      </c>
      <c r="O16" s="8" t="n">
        <v>42000</v>
      </c>
      <c r="P16" s="5" t="inlineStr">
        <is>
          <t>N/A</t>
        </is>
      </c>
      <c r="Q16" s="8">
        <f>IFERROR(G16/L16,0)</f>
        <v/>
      </c>
      <c r="R16" s="8" t="n">
        <v>40808</v>
      </c>
      <c r="S16" s="10">
        <f>IFERROR(R16/G16,0)</f>
        <v/>
      </c>
    </row>
    <row r="17">
      <c r="A17" s="7" t="n">
        <v>46250</v>
      </c>
      <c r="B17" s="5" t="inlineStr">
        <is>
          <t>Vantage CRM</t>
        </is>
      </c>
      <c r="C17" s="5" t="inlineStr">
        <is>
          <t>SaaS / B2B Tech</t>
        </is>
      </c>
      <c r="D17" s="5" t="inlineStr">
        <is>
          <t>B2B</t>
        </is>
      </c>
      <c r="E17" s="5" t="inlineStr">
        <is>
          <t>LinkedIn</t>
        </is>
      </c>
      <c r="F17" s="5" t="inlineStr">
        <is>
          <t>vantagecrm.example.com</t>
        </is>
      </c>
      <c r="G17" s="8" t="n">
        <v>3383</v>
      </c>
      <c r="H17" s="8" t="n">
        <v>4082</v>
      </c>
      <c r="I17" s="8" t="n">
        <v>86</v>
      </c>
      <c r="J17" s="9">
        <f>I17/H17</f>
        <v/>
      </c>
      <c r="K17" s="8" t="n">
        <v>82</v>
      </c>
      <c r="L17" s="8" t="n">
        <v>3</v>
      </c>
      <c r="M17" s="5" t="n">
        <v>3</v>
      </c>
      <c r="N17" s="5" t="n">
        <v>1</v>
      </c>
      <c r="O17" s="8" t="n">
        <v>0</v>
      </c>
      <c r="P17" s="5" t="inlineStr">
        <is>
          <t>N/A</t>
        </is>
      </c>
      <c r="Q17" s="8">
        <f>IFERROR(G17/L17,0)</f>
        <v/>
      </c>
      <c r="R17" s="8" t="n">
        <v>0</v>
      </c>
      <c r="S17" s="10">
        <f>IFERROR(R17/G17,0)</f>
        <v/>
      </c>
    </row>
    <row r="18">
      <c r="A18" s="7" t="n">
        <v>46251</v>
      </c>
      <c r="B18" s="5" t="inlineStr">
        <is>
          <t>Vantage CRM</t>
        </is>
      </c>
      <c r="C18" s="5" t="inlineStr">
        <is>
          <t>SaaS / B2B Tech</t>
        </is>
      </c>
      <c r="D18" s="5" t="inlineStr">
        <is>
          <t>B2B</t>
        </is>
      </c>
      <c r="E18" s="5" t="inlineStr">
        <is>
          <t>LinkedIn</t>
        </is>
      </c>
      <c r="F18" s="5" t="inlineStr">
        <is>
          <t>vantagecrm.example.com</t>
        </is>
      </c>
      <c r="G18" s="8" t="n">
        <v>3693</v>
      </c>
      <c r="H18" s="8" t="n">
        <v>4082</v>
      </c>
      <c r="I18" s="8" t="n">
        <v>86</v>
      </c>
      <c r="J18" s="9">
        <f>I18/H18</f>
        <v/>
      </c>
      <c r="K18" s="8" t="n">
        <v>74</v>
      </c>
      <c r="L18" s="8" t="n">
        <v>3</v>
      </c>
      <c r="M18" s="5" t="n">
        <v>3</v>
      </c>
      <c r="N18" s="5" t="n">
        <v>0</v>
      </c>
      <c r="O18" s="8" t="n">
        <v>0</v>
      </c>
      <c r="P18" s="5" t="inlineStr">
        <is>
          <t>N/A</t>
        </is>
      </c>
      <c r="Q18" s="8">
        <f>IFERROR(G18/L18,0)</f>
        <v/>
      </c>
      <c r="R18" s="8" t="n">
        <v>0</v>
      </c>
      <c r="S18" s="10">
        <f>IFERROR(R18/G18,0)</f>
        <v/>
      </c>
    </row>
    <row r="19">
      <c r="A19" s="7" t="n">
        <v>46252</v>
      </c>
      <c r="B19" s="5" t="inlineStr">
        <is>
          <t>Vantage CRM</t>
        </is>
      </c>
      <c r="C19" s="5" t="inlineStr">
        <is>
          <t>SaaS / B2B Tech</t>
        </is>
      </c>
      <c r="D19" s="5" t="inlineStr">
        <is>
          <t>B2B</t>
        </is>
      </c>
      <c r="E19" s="5" t="inlineStr">
        <is>
          <t>LinkedIn</t>
        </is>
      </c>
      <c r="F19" s="5" t="inlineStr">
        <is>
          <t>vantagecrm.example.com</t>
        </is>
      </c>
      <c r="G19" s="8" t="n">
        <v>3358</v>
      </c>
      <c r="H19" s="8" t="n">
        <v>5442</v>
      </c>
      <c r="I19" s="8" t="n">
        <v>114</v>
      </c>
      <c r="J19" s="9">
        <f>I19/H19</f>
        <v/>
      </c>
      <c r="K19" s="8" t="n">
        <v>98</v>
      </c>
      <c r="L19" s="8" t="n">
        <v>4</v>
      </c>
      <c r="M19" s="5" t="n">
        <v>4</v>
      </c>
      <c r="N19" s="5" t="n">
        <v>2</v>
      </c>
      <c r="O19" s="8" t="n">
        <v>0</v>
      </c>
      <c r="P19" s="5" t="inlineStr">
        <is>
          <t>N/A</t>
        </is>
      </c>
      <c r="Q19" s="8">
        <f>IFERROR(G19/L19,0)</f>
        <v/>
      </c>
      <c r="R19" s="8" t="n">
        <v>0</v>
      </c>
      <c r="S19" s="10">
        <f>IFERROR(R19/G19,0)</f>
        <v/>
      </c>
    </row>
    <row r="20">
      <c r="A20" s="7" t="n">
        <v>46253</v>
      </c>
      <c r="B20" s="5" t="inlineStr">
        <is>
          <t>Vantage CRM</t>
        </is>
      </c>
      <c r="C20" s="5" t="inlineStr">
        <is>
          <t>SaaS / B2B Tech</t>
        </is>
      </c>
      <c r="D20" s="5" t="inlineStr">
        <is>
          <t>B2B</t>
        </is>
      </c>
      <c r="E20" s="5" t="inlineStr">
        <is>
          <t>LinkedIn</t>
        </is>
      </c>
      <c r="F20" s="5" t="inlineStr">
        <is>
          <t>vantagecrm.example.com</t>
        </is>
      </c>
      <c r="G20" s="8" t="n">
        <v>3821</v>
      </c>
      <c r="H20" s="8" t="n">
        <v>1361</v>
      </c>
      <c r="I20" s="8" t="n">
        <v>29</v>
      </c>
      <c r="J20" s="9">
        <f>I20/H20</f>
        <v/>
      </c>
      <c r="K20" s="8" t="n">
        <v>26</v>
      </c>
      <c r="L20" s="8" t="n">
        <v>1</v>
      </c>
      <c r="M20" s="5" t="n">
        <v>1</v>
      </c>
      <c r="N20" s="5" t="n">
        <v>1</v>
      </c>
      <c r="O20" s="8" t="n">
        <v>0</v>
      </c>
      <c r="P20" s="5" t="inlineStr">
        <is>
          <t>N/A</t>
        </is>
      </c>
      <c r="Q20" s="8">
        <f>IFERROR(G20/L20,0)</f>
        <v/>
      </c>
      <c r="R20" s="8" t="n">
        <v>0</v>
      </c>
      <c r="S20" s="10">
        <f>IFERROR(R20/G20,0)</f>
        <v/>
      </c>
    </row>
    <row r="21">
      <c r="A21" s="7" t="n">
        <v>46254</v>
      </c>
      <c r="B21" s="5" t="inlineStr">
        <is>
          <t>Vantage CRM</t>
        </is>
      </c>
      <c r="C21" s="5" t="inlineStr">
        <is>
          <t>SaaS / B2B Tech</t>
        </is>
      </c>
      <c r="D21" s="5" t="inlineStr">
        <is>
          <t>B2B</t>
        </is>
      </c>
      <c r="E21" s="5" t="inlineStr">
        <is>
          <t>LinkedIn</t>
        </is>
      </c>
      <c r="F21" s="5" t="inlineStr">
        <is>
          <t>vantagecrm.example.com</t>
        </is>
      </c>
      <c r="G21" s="8" t="n">
        <v>3587</v>
      </c>
      <c r="H21" s="8" t="n">
        <v>0</v>
      </c>
      <c r="I21" s="8" t="n">
        <v>0</v>
      </c>
      <c r="J21" s="9">
        <f>I21/H21</f>
        <v/>
      </c>
      <c r="K21" s="8" t="n">
        <v>0</v>
      </c>
      <c r="L21" s="8" t="n">
        <v>0</v>
      </c>
      <c r="M21" s="5" t="n">
        <v>0</v>
      </c>
      <c r="N21" s="5" t="n">
        <v>0</v>
      </c>
      <c r="O21" s="8" t="n">
        <v>0</v>
      </c>
      <c r="P21" s="5" t="inlineStr">
        <is>
          <t>N/A</t>
        </is>
      </c>
      <c r="Q21" s="8">
        <f>IFERROR(G21/L21,0)</f>
        <v/>
      </c>
      <c r="R21" s="8" t="n">
        <v>0</v>
      </c>
      <c r="S21" s="10">
        <f>IFERROR(R21/G21,0)</f>
        <v/>
      </c>
    </row>
    <row r="22">
      <c r="A22" s="7" t="n">
        <v>46255</v>
      </c>
      <c r="B22" s="5" t="inlineStr">
        <is>
          <t>Vantage CRM</t>
        </is>
      </c>
      <c r="C22" s="5" t="inlineStr">
        <is>
          <t>SaaS / B2B Tech</t>
        </is>
      </c>
      <c r="D22" s="5" t="inlineStr">
        <is>
          <t>B2B</t>
        </is>
      </c>
      <c r="E22" s="5" t="inlineStr">
        <is>
          <t>LinkedIn</t>
        </is>
      </c>
      <c r="F22" s="5" t="inlineStr">
        <is>
          <t>vantagecrm.example.com</t>
        </is>
      </c>
      <c r="G22" s="8" t="n">
        <v>3553</v>
      </c>
      <c r="H22" s="8" t="n">
        <v>2721</v>
      </c>
      <c r="I22" s="8" t="n">
        <v>57</v>
      </c>
      <c r="J22" s="9">
        <f>I22/H22</f>
        <v/>
      </c>
      <c r="K22" s="8" t="n">
        <v>55</v>
      </c>
      <c r="L22" s="8" t="n">
        <v>2</v>
      </c>
      <c r="M22" s="5" t="n">
        <v>2</v>
      </c>
      <c r="N22" s="5" t="n">
        <v>2</v>
      </c>
      <c r="O22" s="8" t="n">
        <v>84000</v>
      </c>
      <c r="P22" s="5" t="inlineStr">
        <is>
          <t>N/A</t>
        </is>
      </c>
      <c r="Q22" s="8">
        <f>IFERROR(G22/L22,0)</f>
        <v/>
      </c>
      <c r="R22" s="8" t="n">
        <v>78547</v>
      </c>
      <c r="S22" s="10">
        <f>IFERROR(R22/G22,0)</f>
        <v/>
      </c>
    </row>
    <row r="23">
      <c r="A23" s="7" t="n">
        <v>46256</v>
      </c>
      <c r="B23" s="5" t="inlineStr">
        <is>
          <t>Vantage CRM</t>
        </is>
      </c>
      <c r="C23" s="5" t="inlineStr">
        <is>
          <t>SaaS / B2B Tech</t>
        </is>
      </c>
      <c r="D23" s="5" t="inlineStr">
        <is>
          <t>B2B</t>
        </is>
      </c>
      <c r="E23" s="5" t="inlineStr">
        <is>
          <t>LinkedIn</t>
        </is>
      </c>
      <c r="F23" s="5" t="inlineStr">
        <is>
          <t>vantagecrm.example.com</t>
        </is>
      </c>
      <c r="G23" s="8" t="n">
        <v>3428</v>
      </c>
      <c r="H23" s="8" t="n">
        <v>0</v>
      </c>
      <c r="I23" s="8" t="n">
        <v>0</v>
      </c>
      <c r="J23" s="9">
        <f>I23/H23</f>
        <v/>
      </c>
      <c r="K23" s="8" t="n">
        <v>0</v>
      </c>
      <c r="L23" s="8" t="n">
        <v>0</v>
      </c>
      <c r="M23" s="5" t="n">
        <v>0</v>
      </c>
      <c r="N23" s="5" t="n">
        <v>0</v>
      </c>
      <c r="O23" s="8" t="n">
        <v>0</v>
      </c>
      <c r="P23" s="5" t="inlineStr">
        <is>
          <t>N/A</t>
        </is>
      </c>
      <c r="Q23" s="8">
        <f>IFERROR(G23/L23,0)</f>
        <v/>
      </c>
      <c r="R23" s="8" t="n">
        <v>0</v>
      </c>
      <c r="S23" s="10">
        <f>IFERROR(R23/G23,0)</f>
        <v/>
      </c>
    </row>
    <row r="24">
      <c r="A24" s="7" t="n">
        <v>46257</v>
      </c>
      <c r="B24" s="5" t="inlineStr">
        <is>
          <t>Vantage CRM</t>
        </is>
      </c>
      <c r="C24" s="5" t="inlineStr">
        <is>
          <t>SaaS / B2B Tech</t>
        </is>
      </c>
      <c r="D24" s="5" t="inlineStr">
        <is>
          <t>B2B</t>
        </is>
      </c>
      <c r="E24" s="5" t="inlineStr">
        <is>
          <t>LinkedIn</t>
        </is>
      </c>
      <c r="F24" s="5" t="inlineStr">
        <is>
          <t>vantagecrm.example.com</t>
        </is>
      </c>
      <c r="G24" s="8" t="n">
        <v>3908</v>
      </c>
      <c r="H24" s="8" t="n">
        <v>4082</v>
      </c>
      <c r="I24" s="8" t="n">
        <v>86</v>
      </c>
      <c r="J24" s="9">
        <f>I24/H24</f>
        <v/>
      </c>
      <c r="K24" s="8" t="n">
        <v>74</v>
      </c>
      <c r="L24" s="8" t="n">
        <v>3</v>
      </c>
      <c r="M24" s="5" t="n">
        <v>3</v>
      </c>
      <c r="N24" s="5" t="n">
        <v>2</v>
      </c>
      <c r="O24" s="8" t="n">
        <v>0</v>
      </c>
      <c r="P24" s="5" t="inlineStr">
        <is>
          <t>N/A</t>
        </is>
      </c>
      <c r="Q24" s="8">
        <f>IFERROR(G24/L24,0)</f>
        <v/>
      </c>
      <c r="R24" s="8" t="n">
        <v>0</v>
      </c>
      <c r="S24" s="10">
        <f>IFERROR(R24/G24,0)</f>
        <v/>
      </c>
    </row>
    <row r="25">
      <c r="A25" s="7" t="n">
        <v>46258</v>
      </c>
      <c r="B25" s="5" t="inlineStr">
        <is>
          <t>Vantage CRM</t>
        </is>
      </c>
      <c r="C25" s="5" t="inlineStr">
        <is>
          <t>SaaS / B2B Tech</t>
        </is>
      </c>
      <c r="D25" s="5" t="inlineStr">
        <is>
          <t>B2B</t>
        </is>
      </c>
      <c r="E25" s="5" t="inlineStr">
        <is>
          <t>LinkedIn</t>
        </is>
      </c>
      <c r="F25" s="5" t="inlineStr">
        <is>
          <t>vantagecrm.example.com</t>
        </is>
      </c>
      <c r="G25" s="8" t="n">
        <v>3561</v>
      </c>
      <c r="H25" s="8" t="n">
        <v>2721</v>
      </c>
      <c r="I25" s="8" t="n">
        <v>57</v>
      </c>
      <c r="J25" s="9">
        <f>I25/H25</f>
        <v/>
      </c>
      <c r="K25" s="8" t="n">
        <v>55</v>
      </c>
      <c r="L25" s="8" t="n">
        <v>2</v>
      </c>
      <c r="M25" s="5" t="n">
        <v>2</v>
      </c>
      <c r="N25" s="5" t="n">
        <v>2</v>
      </c>
      <c r="O25" s="8" t="n">
        <v>0</v>
      </c>
      <c r="P25" s="5" t="inlineStr">
        <is>
          <t>N/A</t>
        </is>
      </c>
      <c r="Q25" s="8">
        <f>IFERROR(G25/L25,0)</f>
        <v/>
      </c>
      <c r="R25" s="8" t="n">
        <v>0</v>
      </c>
      <c r="S25" s="10">
        <f>IFERROR(R25/G25,0)</f>
        <v/>
      </c>
    </row>
    <row r="26">
      <c r="A26" s="7" t="n">
        <v>46259</v>
      </c>
      <c r="B26" s="5" t="inlineStr">
        <is>
          <t>Vantage CRM</t>
        </is>
      </c>
      <c r="C26" s="5" t="inlineStr">
        <is>
          <t>SaaS / B2B Tech</t>
        </is>
      </c>
      <c r="D26" s="5" t="inlineStr">
        <is>
          <t>B2B</t>
        </is>
      </c>
      <c r="E26" s="5" t="inlineStr">
        <is>
          <t>LinkedIn</t>
        </is>
      </c>
      <c r="F26" s="5" t="inlineStr">
        <is>
          <t>vantagecrm.example.com</t>
        </is>
      </c>
      <c r="G26" s="8" t="n">
        <v>3492</v>
      </c>
      <c r="H26" s="8" t="n">
        <v>4082</v>
      </c>
      <c r="I26" s="8" t="n">
        <v>86</v>
      </c>
      <c r="J26" s="9">
        <f>I26/H26</f>
        <v/>
      </c>
      <c r="K26" s="8" t="n">
        <v>75</v>
      </c>
      <c r="L26" s="8" t="n">
        <v>3</v>
      </c>
      <c r="M26" s="5" t="n">
        <v>3</v>
      </c>
      <c r="N26" s="5" t="n">
        <v>2</v>
      </c>
      <c r="O26" s="8" t="n">
        <v>0</v>
      </c>
      <c r="P26" s="5" t="inlineStr">
        <is>
          <t>N/A</t>
        </is>
      </c>
      <c r="Q26" s="8">
        <f>IFERROR(G26/L26,0)</f>
        <v/>
      </c>
      <c r="R26" s="8" t="n">
        <v>0</v>
      </c>
      <c r="S26" s="10">
        <f>IFERROR(R26/G26,0)</f>
        <v/>
      </c>
    </row>
    <row r="27">
      <c r="A27" s="7" t="n">
        <v>46260</v>
      </c>
      <c r="B27" s="5" t="inlineStr">
        <is>
          <t>Vantage CRM</t>
        </is>
      </c>
      <c r="C27" s="5" t="inlineStr">
        <is>
          <t>SaaS / B2B Tech</t>
        </is>
      </c>
      <c r="D27" s="5" t="inlineStr">
        <is>
          <t>B2B</t>
        </is>
      </c>
      <c r="E27" s="5" t="inlineStr">
        <is>
          <t>LinkedIn</t>
        </is>
      </c>
      <c r="F27" s="5" t="inlineStr">
        <is>
          <t>vantagecrm.example.com</t>
        </is>
      </c>
      <c r="G27" s="8" t="n">
        <v>3511</v>
      </c>
      <c r="H27" s="8" t="n">
        <v>5442</v>
      </c>
      <c r="I27" s="8" t="n">
        <v>114</v>
      </c>
      <c r="J27" s="9">
        <f>I27/H27</f>
        <v/>
      </c>
      <c r="K27" s="8" t="n">
        <v>101</v>
      </c>
      <c r="L27" s="8" t="n">
        <v>4</v>
      </c>
      <c r="M27" s="5" t="n">
        <v>4</v>
      </c>
      <c r="N27" s="5" t="n">
        <v>2</v>
      </c>
      <c r="O27" s="8" t="n">
        <v>0</v>
      </c>
      <c r="P27" s="5" t="inlineStr">
        <is>
          <t>N/A</t>
        </is>
      </c>
      <c r="Q27" s="8">
        <f>IFERROR(G27/L27,0)</f>
        <v/>
      </c>
      <c r="R27" s="8" t="n">
        <v>0</v>
      </c>
      <c r="S27" s="10">
        <f>IFERROR(R27/G27,0)</f>
        <v/>
      </c>
    </row>
    <row r="28">
      <c r="A28" s="7" t="n">
        <v>46261</v>
      </c>
      <c r="B28" s="5" t="inlineStr">
        <is>
          <t>Vantage CRM</t>
        </is>
      </c>
      <c r="C28" s="5" t="inlineStr">
        <is>
          <t>SaaS / B2B Tech</t>
        </is>
      </c>
      <c r="D28" s="5" t="inlineStr">
        <is>
          <t>B2B</t>
        </is>
      </c>
      <c r="E28" s="5" t="inlineStr">
        <is>
          <t>LinkedIn</t>
        </is>
      </c>
      <c r="F28" s="5" t="inlineStr">
        <is>
          <t>vantagecrm.example.com</t>
        </is>
      </c>
      <c r="G28" s="8" t="n">
        <v>3734</v>
      </c>
      <c r="H28" s="8" t="n">
        <v>2721</v>
      </c>
      <c r="I28" s="8" t="n">
        <v>57</v>
      </c>
      <c r="J28" s="9">
        <f>I28/H28</f>
        <v/>
      </c>
      <c r="K28" s="8" t="n">
        <v>50</v>
      </c>
      <c r="L28" s="8" t="n">
        <v>2</v>
      </c>
      <c r="M28" s="5" t="n">
        <v>2</v>
      </c>
      <c r="N28" s="5" t="n">
        <v>1</v>
      </c>
      <c r="O28" s="8" t="n">
        <v>0</v>
      </c>
      <c r="P28" s="5" t="inlineStr">
        <is>
          <t>N/A</t>
        </is>
      </c>
      <c r="Q28" s="8">
        <f>IFERROR(G28/L28,0)</f>
        <v/>
      </c>
      <c r="R28" s="8" t="n">
        <v>0</v>
      </c>
      <c r="S28" s="10">
        <f>IFERROR(R28/G28,0)</f>
        <v/>
      </c>
    </row>
    <row r="29">
      <c r="A29" s="7" t="n">
        <v>46262</v>
      </c>
      <c r="B29" s="5" t="inlineStr">
        <is>
          <t>Vantage CRM</t>
        </is>
      </c>
      <c r="C29" s="5" t="inlineStr">
        <is>
          <t>SaaS / B2B Tech</t>
        </is>
      </c>
      <c r="D29" s="5" t="inlineStr">
        <is>
          <t>B2B</t>
        </is>
      </c>
      <c r="E29" s="5" t="inlineStr">
        <is>
          <t>LinkedIn</t>
        </is>
      </c>
      <c r="F29" s="5" t="inlineStr">
        <is>
          <t>vantagecrm.example.com</t>
        </is>
      </c>
      <c r="G29" s="8" t="n">
        <v>3692</v>
      </c>
      <c r="H29" s="8" t="n">
        <v>1361</v>
      </c>
      <c r="I29" s="8" t="n">
        <v>29</v>
      </c>
      <c r="J29" s="9">
        <f>I29/H29</f>
        <v/>
      </c>
      <c r="K29" s="8" t="n">
        <v>25</v>
      </c>
      <c r="L29" s="8" t="n">
        <v>1</v>
      </c>
      <c r="M29" s="5" t="n">
        <v>1</v>
      </c>
      <c r="N29" s="5" t="n">
        <v>1</v>
      </c>
      <c r="O29" s="8" t="n">
        <v>0</v>
      </c>
      <c r="P29" s="5" t="inlineStr">
        <is>
          <t>N/A</t>
        </is>
      </c>
      <c r="Q29" s="8">
        <f>IFERROR(G29/L29,0)</f>
        <v/>
      </c>
      <c r="R29" s="8" t="n">
        <v>0</v>
      </c>
      <c r="S29" s="10">
        <f>IFERROR(R29/G29,0)</f>
        <v/>
      </c>
    </row>
    <row r="30">
      <c r="A30" s="7" t="n">
        <v>46263</v>
      </c>
      <c r="B30" s="5" t="inlineStr">
        <is>
          <t>Vantage CRM</t>
        </is>
      </c>
      <c r="C30" s="5" t="inlineStr">
        <is>
          <t>SaaS / B2B Tech</t>
        </is>
      </c>
      <c r="D30" s="5" t="inlineStr">
        <is>
          <t>B2B</t>
        </is>
      </c>
      <c r="E30" s="5" t="inlineStr">
        <is>
          <t>LinkedIn</t>
        </is>
      </c>
      <c r="F30" s="5" t="inlineStr">
        <is>
          <t>vantagecrm.example.com</t>
        </is>
      </c>
      <c r="G30" s="8" t="n">
        <v>3704</v>
      </c>
      <c r="H30" s="8" t="n">
        <v>5442</v>
      </c>
      <c r="I30" s="8" t="n">
        <v>114</v>
      </c>
      <c r="J30" s="9">
        <f>I30/H30</f>
        <v/>
      </c>
      <c r="K30" s="8" t="n">
        <v>97</v>
      </c>
      <c r="L30" s="8" t="n">
        <v>4</v>
      </c>
      <c r="M30" s="5" t="n">
        <v>4</v>
      </c>
      <c r="N30" s="5" t="n">
        <v>2</v>
      </c>
      <c r="O30" s="8" t="n">
        <v>0</v>
      </c>
      <c r="P30" s="5" t="inlineStr">
        <is>
          <t>N/A</t>
        </is>
      </c>
      <c r="Q30" s="8">
        <f>IFERROR(G30/L30,0)</f>
        <v/>
      </c>
      <c r="R30" s="8" t="n">
        <v>0</v>
      </c>
      <c r="S30" s="10">
        <f>IFERROR(R30/G30,0)</f>
        <v/>
      </c>
    </row>
    <row r="31">
      <c r="A31" s="7" t="n">
        <v>46264</v>
      </c>
      <c r="B31" s="5" t="inlineStr">
        <is>
          <t>Vantage CRM</t>
        </is>
      </c>
      <c r="C31" s="5" t="inlineStr">
        <is>
          <t>SaaS / B2B Tech</t>
        </is>
      </c>
      <c r="D31" s="5" t="inlineStr">
        <is>
          <t>B2B</t>
        </is>
      </c>
      <c r="E31" s="5" t="inlineStr">
        <is>
          <t>LinkedIn</t>
        </is>
      </c>
      <c r="F31" s="5" t="inlineStr">
        <is>
          <t>vantagecrm.example.com</t>
        </is>
      </c>
      <c r="G31" s="8" t="n">
        <v>3709</v>
      </c>
      <c r="H31" s="8" t="n">
        <v>2721</v>
      </c>
      <c r="I31" s="8" t="n">
        <v>57</v>
      </c>
      <c r="J31" s="9">
        <f>I31/H31</f>
        <v/>
      </c>
      <c r="K31" s="8" t="n">
        <v>49</v>
      </c>
      <c r="L31" s="8" t="n">
        <v>2</v>
      </c>
      <c r="M31" s="5" t="n">
        <v>2</v>
      </c>
      <c r="N31" s="5" t="n">
        <v>1</v>
      </c>
      <c r="O31" s="8" t="n">
        <v>0</v>
      </c>
      <c r="P31" s="5" t="inlineStr">
        <is>
          <t>N/A</t>
        </is>
      </c>
      <c r="Q31" s="8">
        <f>IFERROR(G31/L31,0)</f>
        <v/>
      </c>
      <c r="R31" s="8" t="n">
        <v>0</v>
      </c>
      <c r="S31" s="10">
        <f>IFERROR(R31/G31,0)</f>
        <v/>
      </c>
    </row>
    <row r="32">
      <c r="A32" s="7" t="n">
        <v>46265</v>
      </c>
      <c r="B32" s="5" t="inlineStr">
        <is>
          <t>Vantage CRM</t>
        </is>
      </c>
      <c r="C32" s="5" t="inlineStr">
        <is>
          <t>SaaS / B2B Tech</t>
        </is>
      </c>
      <c r="D32" s="5" t="inlineStr">
        <is>
          <t>B2B</t>
        </is>
      </c>
      <c r="E32" s="5" t="inlineStr">
        <is>
          <t>LinkedIn</t>
        </is>
      </c>
      <c r="F32" s="5" t="inlineStr">
        <is>
          <t>vantagecrm.example.com</t>
        </is>
      </c>
      <c r="G32" s="8" t="n">
        <v>4140</v>
      </c>
      <c r="H32" s="8" t="n">
        <v>2721</v>
      </c>
      <c r="I32" s="8" t="n">
        <v>57</v>
      </c>
      <c r="J32" s="9">
        <f>I32/H32</f>
        <v/>
      </c>
      <c r="K32" s="8" t="n">
        <v>50</v>
      </c>
      <c r="L32" s="8" t="n">
        <v>2</v>
      </c>
      <c r="M32" s="5" t="n">
        <v>2</v>
      </c>
      <c r="N32" s="5" t="n">
        <v>0</v>
      </c>
      <c r="O32" s="8" t="n">
        <v>0</v>
      </c>
      <c r="P32" s="5" t="inlineStr">
        <is>
          <t>N/A</t>
        </is>
      </c>
      <c r="Q32" s="8">
        <f>IFERROR(G32/L32,0)</f>
        <v/>
      </c>
      <c r="R32" s="8" t="n">
        <v>0</v>
      </c>
      <c r="S32" s="10">
        <f>IFERROR(R32/G32,0)</f>
        <v/>
      </c>
    </row>
    <row r="33">
      <c r="A33" s="7" t="n">
        <v>46235</v>
      </c>
      <c r="B33" s="5" t="inlineStr">
        <is>
          <t>Lumiere Skincare</t>
        </is>
      </c>
      <c r="C33" s="5" t="inlineStr">
        <is>
          <t>Beauty / Cosmetics</t>
        </is>
      </c>
      <c r="D33" s="5" t="inlineStr">
        <is>
          <t>B2C</t>
        </is>
      </c>
      <c r="E33" s="5" t="inlineStr">
        <is>
          <t>Instagram</t>
        </is>
      </c>
      <c r="F33" s="5" t="inlineStr">
        <is>
          <t>lumiereskincare.example.com</t>
        </is>
      </c>
      <c r="G33" s="8" t="n">
        <v>4229</v>
      </c>
      <c r="H33" s="8" t="n">
        <v>18683</v>
      </c>
      <c r="I33" s="8" t="n">
        <v>392</v>
      </c>
      <c r="J33" s="9">
        <f>I33/H33</f>
        <v/>
      </c>
      <c r="K33" s="8" t="n">
        <v>338</v>
      </c>
      <c r="L33" s="8" t="n">
        <v>10</v>
      </c>
      <c r="M33" s="5" t="inlineStr">
        <is>
          <t>N/A</t>
        </is>
      </c>
      <c r="N33" s="5" t="inlineStr">
        <is>
          <t>N/A</t>
        </is>
      </c>
      <c r="O33" s="8" t="inlineStr">
        <is>
          <t>N/A</t>
        </is>
      </c>
      <c r="P33" s="5" t="n">
        <v>10</v>
      </c>
      <c r="Q33" s="8">
        <f>IFERROR(G33/L33,0)</f>
        <v/>
      </c>
      <c r="R33" s="8" t="n">
        <v>14792</v>
      </c>
      <c r="S33" s="10">
        <f>IFERROR(R33/G33,0)</f>
        <v/>
      </c>
    </row>
    <row r="34">
      <c r="A34" s="7" t="n">
        <v>46236</v>
      </c>
      <c r="B34" s="5" t="inlineStr">
        <is>
          <t>Lumiere Skincare</t>
        </is>
      </c>
      <c r="C34" s="5" t="inlineStr">
        <is>
          <t>Beauty / Cosmetics</t>
        </is>
      </c>
      <c r="D34" s="5" t="inlineStr">
        <is>
          <t>B2C</t>
        </is>
      </c>
      <c r="E34" s="5" t="inlineStr">
        <is>
          <t>Instagram</t>
        </is>
      </c>
      <c r="F34" s="5" t="inlineStr">
        <is>
          <t>lumiereskincare.example.com</t>
        </is>
      </c>
      <c r="G34" s="8" t="n">
        <v>4545</v>
      </c>
      <c r="H34" s="8" t="n">
        <v>21106</v>
      </c>
      <c r="I34" s="8" t="n">
        <v>443</v>
      </c>
      <c r="J34" s="9">
        <f>I34/H34</f>
        <v/>
      </c>
      <c r="K34" s="8" t="n">
        <v>431</v>
      </c>
      <c r="L34" s="8" t="n">
        <v>12</v>
      </c>
      <c r="M34" s="5" t="inlineStr">
        <is>
          <t>N/A</t>
        </is>
      </c>
      <c r="N34" s="5" t="inlineStr">
        <is>
          <t>N/A</t>
        </is>
      </c>
      <c r="O34" s="8" t="inlineStr">
        <is>
          <t>N/A</t>
        </is>
      </c>
      <c r="P34" s="5" t="n">
        <v>12</v>
      </c>
      <c r="Q34" s="8">
        <f>IFERROR(G34/L34,0)</f>
        <v/>
      </c>
      <c r="R34" s="8" t="n">
        <v>16709</v>
      </c>
      <c r="S34" s="10">
        <f>IFERROR(R34/G34,0)</f>
        <v/>
      </c>
    </row>
    <row r="35">
      <c r="A35" s="7" t="n">
        <v>46237</v>
      </c>
      <c r="B35" s="5" t="inlineStr">
        <is>
          <t>Lumiere Skincare</t>
        </is>
      </c>
      <c r="C35" s="5" t="inlineStr">
        <is>
          <t>Beauty / Cosmetics</t>
        </is>
      </c>
      <c r="D35" s="5" t="inlineStr">
        <is>
          <t>B2C</t>
        </is>
      </c>
      <c r="E35" s="5" t="inlineStr">
        <is>
          <t>Instagram</t>
        </is>
      </c>
      <c r="F35" s="5" t="inlineStr">
        <is>
          <t>lumiereskincare.example.com</t>
        </is>
      </c>
      <c r="G35" s="8" t="n">
        <v>4712</v>
      </c>
      <c r="H35" s="8" t="n">
        <v>22187</v>
      </c>
      <c r="I35" s="8" t="n">
        <v>466</v>
      </c>
      <c r="J35" s="9">
        <f>I35/H35</f>
        <v/>
      </c>
      <c r="K35" s="8" t="n">
        <v>404</v>
      </c>
      <c r="L35" s="8" t="n">
        <v>12</v>
      </c>
      <c r="M35" s="5" t="inlineStr">
        <is>
          <t>N/A</t>
        </is>
      </c>
      <c r="N35" s="5" t="inlineStr">
        <is>
          <t>N/A</t>
        </is>
      </c>
      <c r="O35" s="8" t="inlineStr">
        <is>
          <t>N/A</t>
        </is>
      </c>
      <c r="P35" s="5" t="n">
        <v>12</v>
      </c>
      <c r="Q35" s="8">
        <f>IFERROR(G35/L35,0)</f>
        <v/>
      </c>
      <c r="R35" s="8" t="n">
        <v>17565</v>
      </c>
      <c r="S35" s="10">
        <f>IFERROR(R35/G35,0)</f>
        <v/>
      </c>
    </row>
    <row r="36">
      <c r="A36" s="7" t="n">
        <v>46238</v>
      </c>
      <c r="B36" s="5" t="inlineStr">
        <is>
          <t>Lumiere Skincare</t>
        </is>
      </c>
      <c r="C36" s="5" t="inlineStr">
        <is>
          <t>Beauty / Cosmetics</t>
        </is>
      </c>
      <c r="D36" s="5" t="inlineStr">
        <is>
          <t>B2C</t>
        </is>
      </c>
      <c r="E36" s="5" t="inlineStr">
        <is>
          <t>Instagram</t>
        </is>
      </c>
      <c r="F36" s="5" t="inlineStr">
        <is>
          <t>lumiereskincare.example.com</t>
        </is>
      </c>
      <c r="G36" s="8" t="n">
        <v>4448</v>
      </c>
      <c r="H36" s="8" t="n">
        <v>19323</v>
      </c>
      <c r="I36" s="8" t="n">
        <v>406</v>
      </c>
      <c r="J36" s="9">
        <f>I36/H36</f>
        <v/>
      </c>
      <c r="K36" s="8" t="n">
        <v>395</v>
      </c>
      <c r="L36" s="8" t="n">
        <v>11</v>
      </c>
      <c r="M36" s="5" t="inlineStr">
        <is>
          <t>N/A</t>
        </is>
      </c>
      <c r="N36" s="5" t="inlineStr">
        <is>
          <t>N/A</t>
        </is>
      </c>
      <c r="O36" s="8" t="inlineStr">
        <is>
          <t>N/A</t>
        </is>
      </c>
      <c r="P36" s="5" t="n">
        <v>11</v>
      </c>
      <c r="Q36" s="8">
        <f>IFERROR(G36/L36,0)</f>
        <v/>
      </c>
      <c r="R36" s="8" t="n">
        <v>15298</v>
      </c>
      <c r="S36" s="10">
        <f>IFERROR(R36/G36,0)</f>
        <v/>
      </c>
    </row>
    <row r="37">
      <c r="A37" s="7" t="n">
        <v>46239</v>
      </c>
      <c r="B37" s="5" t="inlineStr">
        <is>
          <t>Lumiere Skincare</t>
        </is>
      </c>
      <c r="C37" s="5" t="inlineStr">
        <is>
          <t>Beauty / Cosmetics</t>
        </is>
      </c>
      <c r="D37" s="5" t="inlineStr">
        <is>
          <t>B2C</t>
        </is>
      </c>
      <c r="E37" s="5" t="inlineStr">
        <is>
          <t>Instagram</t>
        </is>
      </c>
      <c r="F37" s="5" t="inlineStr">
        <is>
          <t>lumiereskincare.example.com</t>
        </is>
      </c>
      <c r="G37" s="8" t="n">
        <v>4508</v>
      </c>
      <c r="H37" s="8" t="n">
        <v>16179</v>
      </c>
      <c r="I37" s="8" t="n">
        <v>340</v>
      </c>
      <c r="J37" s="9">
        <f>I37/H37</f>
        <v/>
      </c>
      <c r="K37" s="8" t="n">
        <v>324</v>
      </c>
      <c r="L37" s="8" t="n">
        <v>9</v>
      </c>
      <c r="M37" s="5" t="inlineStr">
        <is>
          <t>N/A</t>
        </is>
      </c>
      <c r="N37" s="5" t="inlineStr">
        <is>
          <t>N/A</t>
        </is>
      </c>
      <c r="O37" s="8" t="inlineStr">
        <is>
          <t>N/A</t>
        </is>
      </c>
      <c r="P37" s="5" t="n">
        <v>9</v>
      </c>
      <c r="Q37" s="8">
        <f>IFERROR(G37/L37,0)</f>
        <v/>
      </c>
      <c r="R37" s="8" t="n">
        <v>12809</v>
      </c>
      <c r="S37" s="10">
        <f>IFERROR(R37/G37,0)</f>
        <v/>
      </c>
    </row>
    <row r="38">
      <c r="A38" s="7" t="n">
        <v>46240</v>
      </c>
      <c r="B38" s="5" t="inlineStr">
        <is>
          <t>Lumiere Skincare</t>
        </is>
      </c>
      <c r="C38" s="5" t="inlineStr">
        <is>
          <t>Beauty / Cosmetics</t>
        </is>
      </c>
      <c r="D38" s="5" t="inlineStr">
        <is>
          <t>B2C</t>
        </is>
      </c>
      <c r="E38" s="5" t="inlineStr">
        <is>
          <t>Instagram</t>
        </is>
      </c>
      <c r="F38" s="5" t="inlineStr">
        <is>
          <t>lumiereskincare.example.com</t>
        </is>
      </c>
      <c r="G38" s="8" t="n">
        <v>4416</v>
      </c>
      <c r="H38" s="8" t="n">
        <v>20872</v>
      </c>
      <c r="I38" s="8" t="n">
        <v>438</v>
      </c>
      <c r="J38" s="9">
        <f>I38/H38</f>
        <v/>
      </c>
      <c r="K38" s="8" t="n">
        <v>406</v>
      </c>
      <c r="L38" s="8" t="n">
        <v>11</v>
      </c>
      <c r="M38" s="5" t="inlineStr">
        <is>
          <t>N/A</t>
        </is>
      </c>
      <c r="N38" s="5" t="inlineStr">
        <is>
          <t>N/A</t>
        </is>
      </c>
      <c r="O38" s="8" t="inlineStr">
        <is>
          <t>N/A</t>
        </is>
      </c>
      <c r="P38" s="5" t="n">
        <v>11</v>
      </c>
      <c r="Q38" s="8">
        <f>IFERROR(G38/L38,0)</f>
        <v/>
      </c>
      <c r="R38" s="8" t="n">
        <v>16525</v>
      </c>
      <c r="S38" s="10">
        <f>IFERROR(R38/G38,0)</f>
        <v/>
      </c>
    </row>
    <row r="39">
      <c r="A39" s="7" t="n">
        <v>46241</v>
      </c>
      <c r="B39" s="5" t="inlineStr">
        <is>
          <t>Lumiere Skincare</t>
        </is>
      </c>
      <c r="C39" s="5" t="inlineStr">
        <is>
          <t>Beauty / Cosmetics</t>
        </is>
      </c>
      <c r="D39" s="5" t="inlineStr">
        <is>
          <t>B2C</t>
        </is>
      </c>
      <c r="E39" s="5" t="inlineStr">
        <is>
          <t>Instagram</t>
        </is>
      </c>
      <c r="F39" s="5" t="inlineStr">
        <is>
          <t>lumiereskincare.example.com</t>
        </is>
      </c>
      <c r="G39" s="8" t="n">
        <v>4400</v>
      </c>
      <c r="H39" s="8" t="n">
        <v>24155</v>
      </c>
      <c r="I39" s="8" t="n">
        <v>507</v>
      </c>
      <c r="J39" s="9">
        <f>I39/H39</f>
        <v/>
      </c>
      <c r="K39" s="8" t="n">
        <v>483</v>
      </c>
      <c r="L39" s="8" t="n">
        <v>13</v>
      </c>
      <c r="M39" s="5" t="inlineStr">
        <is>
          <t>N/A</t>
        </is>
      </c>
      <c r="N39" s="5" t="inlineStr">
        <is>
          <t>N/A</t>
        </is>
      </c>
      <c r="O39" s="8" t="inlineStr">
        <is>
          <t>N/A</t>
        </is>
      </c>
      <c r="P39" s="5" t="n">
        <v>13</v>
      </c>
      <c r="Q39" s="8">
        <f>IFERROR(G39/L39,0)</f>
        <v/>
      </c>
      <c r="R39" s="8" t="n">
        <v>19123</v>
      </c>
      <c r="S39" s="10">
        <f>IFERROR(R39/G39,0)</f>
        <v/>
      </c>
    </row>
    <row r="40">
      <c r="A40" s="7" t="n">
        <v>46242</v>
      </c>
      <c r="B40" s="5" t="inlineStr">
        <is>
          <t>Lumiere Skincare</t>
        </is>
      </c>
      <c r="C40" s="5" t="inlineStr">
        <is>
          <t>Beauty / Cosmetics</t>
        </is>
      </c>
      <c r="D40" s="5" t="inlineStr">
        <is>
          <t>B2C</t>
        </is>
      </c>
      <c r="E40" s="5" t="inlineStr">
        <is>
          <t>Instagram</t>
        </is>
      </c>
      <c r="F40" s="5" t="inlineStr">
        <is>
          <t>lumiereskincare.example.com</t>
        </is>
      </c>
      <c r="G40" s="8" t="n">
        <v>4178</v>
      </c>
      <c r="H40" s="8" t="n">
        <v>15500</v>
      </c>
      <c r="I40" s="8" t="n">
        <v>326</v>
      </c>
      <c r="J40" s="9">
        <f>I40/H40</f>
        <v/>
      </c>
      <c r="K40" s="8" t="n">
        <v>310</v>
      </c>
      <c r="L40" s="8" t="n">
        <v>8</v>
      </c>
      <c r="M40" s="5" t="inlineStr">
        <is>
          <t>N/A</t>
        </is>
      </c>
      <c r="N40" s="5" t="inlineStr">
        <is>
          <t>N/A</t>
        </is>
      </c>
      <c r="O40" s="8" t="inlineStr">
        <is>
          <t>N/A</t>
        </is>
      </c>
      <c r="P40" s="5" t="n">
        <v>8</v>
      </c>
      <c r="Q40" s="8">
        <f>IFERROR(G40/L40,0)</f>
        <v/>
      </c>
      <c r="R40" s="8" t="n">
        <v>12272</v>
      </c>
      <c r="S40" s="10">
        <f>IFERROR(R40/G40,0)</f>
        <v/>
      </c>
    </row>
    <row r="41">
      <c r="A41" s="7" t="n">
        <v>46243</v>
      </c>
      <c r="B41" s="5" t="inlineStr">
        <is>
          <t>Lumiere Skincare</t>
        </is>
      </c>
      <c r="C41" s="5" t="inlineStr">
        <is>
          <t>Beauty / Cosmetics</t>
        </is>
      </c>
      <c r="D41" s="5" t="inlineStr">
        <is>
          <t>B2C</t>
        </is>
      </c>
      <c r="E41" s="5" t="inlineStr">
        <is>
          <t>Instagram</t>
        </is>
      </c>
      <c r="F41" s="5" t="inlineStr">
        <is>
          <t>lumiereskincare.example.com</t>
        </is>
      </c>
      <c r="G41" s="8" t="n">
        <v>4497</v>
      </c>
      <c r="H41" s="8" t="n">
        <v>22571</v>
      </c>
      <c r="I41" s="8" t="n">
        <v>474</v>
      </c>
      <c r="J41" s="9">
        <f>I41/H41</f>
        <v/>
      </c>
      <c r="K41" s="8" t="n">
        <v>461</v>
      </c>
      <c r="L41" s="8" t="n">
        <v>12</v>
      </c>
      <c r="M41" s="5" t="inlineStr">
        <is>
          <t>N/A</t>
        </is>
      </c>
      <c r="N41" s="5" t="inlineStr">
        <is>
          <t>N/A</t>
        </is>
      </c>
      <c r="O41" s="8" t="inlineStr">
        <is>
          <t>N/A</t>
        </is>
      </c>
      <c r="P41" s="5" t="n">
        <v>12</v>
      </c>
      <c r="Q41" s="8">
        <f>IFERROR(G41/L41,0)</f>
        <v/>
      </c>
      <c r="R41" s="8" t="n">
        <v>17869</v>
      </c>
      <c r="S41" s="10">
        <f>IFERROR(R41/G41,0)</f>
        <v/>
      </c>
    </row>
    <row r="42">
      <c r="A42" s="7" t="n">
        <v>46244</v>
      </c>
      <c r="B42" s="5" t="inlineStr">
        <is>
          <t>Lumiere Skincare</t>
        </is>
      </c>
      <c r="C42" s="5" t="inlineStr">
        <is>
          <t>Beauty / Cosmetics</t>
        </is>
      </c>
      <c r="D42" s="5" t="inlineStr">
        <is>
          <t>B2C</t>
        </is>
      </c>
      <c r="E42" s="5" t="inlineStr">
        <is>
          <t>Instagram</t>
        </is>
      </c>
      <c r="F42" s="5" t="inlineStr">
        <is>
          <t>lumiereskincare.example.com</t>
        </is>
      </c>
      <c r="G42" s="8" t="n">
        <v>4370</v>
      </c>
      <c r="H42" s="8" t="n">
        <v>19088</v>
      </c>
      <c r="I42" s="8" t="n">
        <v>401</v>
      </c>
      <c r="J42" s="9">
        <f>I42/H42</f>
        <v/>
      </c>
      <c r="K42" s="8" t="n">
        <v>354</v>
      </c>
      <c r="L42" s="8" t="n">
        <v>10</v>
      </c>
      <c r="M42" s="5" t="inlineStr">
        <is>
          <t>N/A</t>
        </is>
      </c>
      <c r="N42" s="5" t="inlineStr">
        <is>
          <t>N/A</t>
        </is>
      </c>
      <c r="O42" s="8" t="inlineStr">
        <is>
          <t>N/A</t>
        </is>
      </c>
      <c r="P42" s="5" t="n">
        <v>10</v>
      </c>
      <c r="Q42" s="8">
        <f>IFERROR(G42/L42,0)</f>
        <v/>
      </c>
      <c r="R42" s="8" t="n">
        <v>15112</v>
      </c>
      <c r="S42" s="10">
        <f>IFERROR(R42/G42,0)</f>
        <v/>
      </c>
    </row>
    <row r="43">
      <c r="A43" s="7" t="n">
        <v>46245</v>
      </c>
      <c r="B43" s="5" t="inlineStr">
        <is>
          <t>Lumiere Skincare</t>
        </is>
      </c>
      <c r="C43" s="5" t="inlineStr">
        <is>
          <t>Beauty / Cosmetics</t>
        </is>
      </c>
      <c r="D43" s="5" t="inlineStr">
        <is>
          <t>B2C</t>
        </is>
      </c>
      <c r="E43" s="5" t="inlineStr">
        <is>
          <t>Instagram</t>
        </is>
      </c>
      <c r="F43" s="5" t="inlineStr">
        <is>
          <t>lumiereskincare.example.com</t>
        </is>
      </c>
      <c r="G43" s="8" t="n">
        <v>5045</v>
      </c>
      <c r="H43" s="8" t="n">
        <v>22770</v>
      </c>
      <c r="I43" s="8" t="n">
        <v>478</v>
      </c>
      <c r="J43" s="9">
        <f>I43/H43</f>
        <v/>
      </c>
      <c r="K43" s="8" t="n">
        <v>443</v>
      </c>
      <c r="L43" s="8" t="n">
        <v>12</v>
      </c>
      <c r="M43" s="5" t="inlineStr">
        <is>
          <t>N/A</t>
        </is>
      </c>
      <c r="N43" s="5" t="inlineStr">
        <is>
          <t>N/A</t>
        </is>
      </c>
      <c r="O43" s="8" t="inlineStr">
        <is>
          <t>N/A</t>
        </is>
      </c>
      <c r="P43" s="5" t="n">
        <v>12</v>
      </c>
      <c r="Q43" s="8">
        <f>IFERROR(G43/L43,0)</f>
        <v/>
      </c>
      <c r="R43" s="8" t="n">
        <v>18027</v>
      </c>
      <c r="S43" s="10">
        <f>IFERROR(R43/G43,0)</f>
        <v/>
      </c>
    </row>
    <row r="44">
      <c r="A44" s="7" t="n">
        <v>46246</v>
      </c>
      <c r="B44" s="5" t="inlineStr">
        <is>
          <t>Lumiere Skincare</t>
        </is>
      </c>
      <c r="C44" s="5" t="inlineStr">
        <is>
          <t>Beauty / Cosmetics</t>
        </is>
      </c>
      <c r="D44" s="5" t="inlineStr">
        <is>
          <t>B2C</t>
        </is>
      </c>
      <c r="E44" s="5" t="inlineStr">
        <is>
          <t>Instagram</t>
        </is>
      </c>
      <c r="F44" s="5" t="inlineStr">
        <is>
          <t>lumiereskincare.example.com</t>
        </is>
      </c>
      <c r="G44" s="8" t="n">
        <v>4885</v>
      </c>
      <c r="H44" s="8" t="n">
        <v>19405</v>
      </c>
      <c r="I44" s="8" t="n">
        <v>408</v>
      </c>
      <c r="J44" s="9">
        <f>I44/H44</f>
        <v/>
      </c>
      <c r="K44" s="8" t="n">
        <v>351</v>
      </c>
      <c r="L44" s="8" t="n">
        <v>11</v>
      </c>
      <c r="M44" s="5" t="inlineStr">
        <is>
          <t>N/A</t>
        </is>
      </c>
      <c r="N44" s="5" t="inlineStr">
        <is>
          <t>N/A</t>
        </is>
      </c>
      <c r="O44" s="8" t="inlineStr">
        <is>
          <t>N/A</t>
        </is>
      </c>
      <c r="P44" s="5" t="n">
        <v>11</v>
      </c>
      <c r="Q44" s="8">
        <f>IFERROR(G44/L44,0)</f>
        <v/>
      </c>
      <c r="R44" s="8" t="n">
        <v>15363</v>
      </c>
      <c r="S44" s="10">
        <f>IFERROR(R44/G44,0)</f>
        <v/>
      </c>
    </row>
    <row r="45">
      <c r="A45" s="7" t="n">
        <v>46247</v>
      </c>
      <c r="B45" s="5" t="inlineStr">
        <is>
          <t>Lumiere Skincare</t>
        </is>
      </c>
      <c r="C45" s="5" t="inlineStr">
        <is>
          <t>Beauty / Cosmetics</t>
        </is>
      </c>
      <c r="D45" s="5" t="inlineStr">
        <is>
          <t>B2C</t>
        </is>
      </c>
      <c r="E45" s="5" t="inlineStr">
        <is>
          <t>Instagram</t>
        </is>
      </c>
      <c r="F45" s="5" t="inlineStr">
        <is>
          <t>lumiereskincare.example.com</t>
        </is>
      </c>
      <c r="G45" s="8" t="n">
        <v>4519</v>
      </c>
      <c r="H45" s="8" t="n">
        <v>19723</v>
      </c>
      <c r="I45" s="8" t="n">
        <v>414</v>
      </c>
      <c r="J45" s="9">
        <f>I45/H45</f>
        <v/>
      </c>
      <c r="K45" s="8" t="n">
        <v>385</v>
      </c>
      <c r="L45" s="8" t="n">
        <v>11</v>
      </c>
      <c r="M45" s="5" t="inlineStr">
        <is>
          <t>N/A</t>
        </is>
      </c>
      <c r="N45" s="5" t="inlineStr">
        <is>
          <t>N/A</t>
        </is>
      </c>
      <c r="O45" s="8" t="inlineStr">
        <is>
          <t>N/A</t>
        </is>
      </c>
      <c r="P45" s="5" t="n">
        <v>11</v>
      </c>
      <c r="Q45" s="8">
        <f>IFERROR(G45/L45,0)</f>
        <v/>
      </c>
      <c r="R45" s="8" t="n">
        <v>15615</v>
      </c>
      <c r="S45" s="10">
        <f>IFERROR(R45/G45,0)</f>
        <v/>
      </c>
    </row>
    <row r="46">
      <c r="A46" s="7" t="n">
        <v>46248</v>
      </c>
      <c r="B46" s="5" t="inlineStr">
        <is>
          <t>Lumiere Skincare</t>
        </is>
      </c>
      <c r="C46" s="5" t="inlineStr">
        <is>
          <t>Beauty / Cosmetics</t>
        </is>
      </c>
      <c r="D46" s="5" t="inlineStr">
        <is>
          <t>B2C</t>
        </is>
      </c>
      <c r="E46" s="5" t="inlineStr">
        <is>
          <t>Instagram</t>
        </is>
      </c>
      <c r="F46" s="5" t="inlineStr">
        <is>
          <t>lumiereskincare.example.com</t>
        </is>
      </c>
      <c r="G46" s="8" t="n">
        <v>4165</v>
      </c>
      <c r="H46" s="8" t="n">
        <v>21893</v>
      </c>
      <c r="I46" s="8" t="n">
        <v>460</v>
      </c>
      <c r="J46" s="9">
        <f>I46/H46</f>
        <v/>
      </c>
      <c r="K46" s="8" t="n">
        <v>401</v>
      </c>
      <c r="L46" s="8" t="n">
        <v>12</v>
      </c>
      <c r="M46" s="5" t="inlineStr">
        <is>
          <t>N/A</t>
        </is>
      </c>
      <c r="N46" s="5" t="inlineStr">
        <is>
          <t>N/A</t>
        </is>
      </c>
      <c r="O46" s="8" t="inlineStr">
        <is>
          <t>N/A</t>
        </is>
      </c>
      <c r="P46" s="5" t="n">
        <v>12</v>
      </c>
      <c r="Q46" s="8">
        <f>IFERROR(G46/L46,0)</f>
        <v/>
      </c>
      <c r="R46" s="8" t="n">
        <v>17333</v>
      </c>
      <c r="S46" s="10">
        <f>IFERROR(R46/G46,0)</f>
        <v/>
      </c>
    </row>
    <row r="47">
      <c r="A47" s="7" t="n">
        <v>46249</v>
      </c>
      <c r="B47" s="5" t="inlineStr">
        <is>
          <t>Lumiere Skincare</t>
        </is>
      </c>
      <c r="C47" s="5" t="inlineStr">
        <is>
          <t>Beauty / Cosmetics</t>
        </is>
      </c>
      <c r="D47" s="5" t="inlineStr">
        <is>
          <t>B2C</t>
        </is>
      </c>
      <c r="E47" s="5" t="inlineStr">
        <is>
          <t>Instagram</t>
        </is>
      </c>
      <c r="F47" s="5" t="inlineStr">
        <is>
          <t>lumiereskincare.example.com</t>
        </is>
      </c>
      <c r="G47" s="8" t="n">
        <v>4057</v>
      </c>
      <c r="H47" s="8" t="n">
        <v>19740</v>
      </c>
      <c r="I47" s="8" t="n">
        <v>415</v>
      </c>
      <c r="J47" s="9">
        <f>I47/H47</f>
        <v/>
      </c>
      <c r="K47" s="8" t="n">
        <v>383</v>
      </c>
      <c r="L47" s="8" t="n">
        <v>11</v>
      </c>
      <c r="M47" s="5" t="inlineStr">
        <is>
          <t>N/A</t>
        </is>
      </c>
      <c r="N47" s="5" t="inlineStr">
        <is>
          <t>N/A</t>
        </is>
      </c>
      <c r="O47" s="8" t="inlineStr">
        <is>
          <t>N/A</t>
        </is>
      </c>
      <c r="P47" s="5" t="n">
        <v>11</v>
      </c>
      <c r="Q47" s="8">
        <f>IFERROR(G47/L47,0)</f>
        <v/>
      </c>
      <c r="R47" s="8" t="n">
        <v>15628</v>
      </c>
      <c r="S47" s="10">
        <f>IFERROR(R47/G47,0)</f>
        <v/>
      </c>
    </row>
    <row r="48">
      <c r="A48" s="7" t="n">
        <v>46250</v>
      </c>
      <c r="B48" s="5" t="inlineStr">
        <is>
          <t>Lumiere Skincare</t>
        </is>
      </c>
      <c r="C48" s="5" t="inlineStr">
        <is>
          <t>Beauty / Cosmetics</t>
        </is>
      </c>
      <c r="D48" s="5" t="inlineStr">
        <is>
          <t>B2C</t>
        </is>
      </c>
      <c r="E48" s="5" t="inlineStr">
        <is>
          <t>Instagram</t>
        </is>
      </c>
      <c r="F48" s="5" t="inlineStr">
        <is>
          <t>lumiereskincare.example.com</t>
        </is>
      </c>
      <c r="G48" s="8" t="n">
        <v>4767</v>
      </c>
      <c r="H48" s="8" t="n">
        <v>26182</v>
      </c>
      <c r="I48" s="8" t="n">
        <v>550</v>
      </c>
      <c r="J48" s="9">
        <f>I48/H48</f>
        <v/>
      </c>
      <c r="K48" s="8" t="n">
        <v>508</v>
      </c>
      <c r="L48" s="8" t="n">
        <v>14</v>
      </c>
      <c r="M48" s="5" t="inlineStr">
        <is>
          <t>N/A</t>
        </is>
      </c>
      <c r="N48" s="5" t="inlineStr">
        <is>
          <t>N/A</t>
        </is>
      </c>
      <c r="O48" s="8" t="inlineStr">
        <is>
          <t>N/A</t>
        </is>
      </c>
      <c r="P48" s="5" t="n">
        <v>14</v>
      </c>
      <c r="Q48" s="8">
        <f>IFERROR(G48/L48,0)</f>
        <v/>
      </c>
      <c r="R48" s="8" t="n">
        <v>20728</v>
      </c>
      <c r="S48" s="10">
        <f>IFERROR(R48/G48,0)</f>
        <v/>
      </c>
    </row>
    <row r="49">
      <c r="A49" s="7" t="n">
        <v>46251</v>
      </c>
      <c r="B49" s="5" t="inlineStr">
        <is>
          <t>Lumiere Skincare</t>
        </is>
      </c>
      <c r="C49" s="5" t="inlineStr">
        <is>
          <t>Beauty / Cosmetics</t>
        </is>
      </c>
      <c r="D49" s="5" t="inlineStr">
        <is>
          <t>B2C</t>
        </is>
      </c>
      <c r="E49" s="5" t="inlineStr">
        <is>
          <t>Instagram</t>
        </is>
      </c>
      <c r="F49" s="5" t="inlineStr">
        <is>
          <t>lumiereskincare.example.com</t>
        </is>
      </c>
      <c r="G49" s="8" t="n">
        <v>4481</v>
      </c>
      <c r="H49" s="8" t="n">
        <v>23254</v>
      </c>
      <c r="I49" s="8" t="n">
        <v>488</v>
      </c>
      <c r="J49" s="9">
        <f>I49/H49</f>
        <v/>
      </c>
      <c r="K49" s="8" t="n">
        <v>445</v>
      </c>
      <c r="L49" s="8" t="n">
        <v>13</v>
      </c>
      <c r="M49" s="5" t="inlineStr">
        <is>
          <t>N/A</t>
        </is>
      </c>
      <c r="N49" s="5" t="inlineStr">
        <is>
          <t>N/A</t>
        </is>
      </c>
      <c r="O49" s="8" t="inlineStr">
        <is>
          <t>N/A</t>
        </is>
      </c>
      <c r="P49" s="5" t="n">
        <v>13</v>
      </c>
      <c r="Q49" s="8">
        <f>IFERROR(G49/L49,0)</f>
        <v/>
      </c>
      <c r="R49" s="8" t="n">
        <v>18411</v>
      </c>
      <c r="S49" s="10">
        <f>IFERROR(R49/G49,0)</f>
        <v/>
      </c>
    </row>
    <row r="50">
      <c r="A50" s="7" t="n">
        <v>46252</v>
      </c>
      <c r="B50" s="5" t="inlineStr">
        <is>
          <t>Lumiere Skincare</t>
        </is>
      </c>
      <c r="C50" s="5" t="inlineStr">
        <is>
          <t>Beauty / Cosmetics</t>
        </is>
      </c>
      <c r="D50" s="5" t="inlineStr">
        <is>
          <t>B2C</t>
        </is>
      </c>
      <c r="E50" s="5" t="inlineStr">
        <is>
          <t>Instagram</t>
        </is>
      </c>
      <c r="F50" s="5" t="inlineStr">
        <is>
          <t>lumiereskincare.example.com</t>
        </is>
      </c>
      <c r="G50" s="8" t="n">
        <v>4548</v>
      </c>
      <c r="H50" s="8" t="n">
        <v>21770</v>
      </c>
      <c r="I50" s="8" t="n">
        <v>457</v>
      </c>
      <c r="J50" s="9">
        <f>I50/H50</f>
        <v/>
      </c>
      <c r="K50" s="8" t="n">
        <v>420</v>
      </c>
      <c r="L50" s="8" t="n">
        <v>12</v>
      </c>
      <c r="M50" s="5" t="inlineStr">
        <is>
          <t>N/A</t>
        </is>
      </c>
      <c r="N50" s="5" t="inlineStr">
        <is>
          <t>N/A</t>
        </is>
      </c>
      <c r="O50" s="8" t="inlineStr">
        <is>
          <t>N/A</t>
        </is>
      </c>
      <c r="P50" s="5" t="n">
        <v>12</v>
      </c>
      <c r="Q50" s="8">
        <f>IFERROR(G50/L50,0)</f>
        <v/>
      </c>
      <c r="R50" s="8" t="n">
        <v>17235</v>
      </c>
      <c r="S50" s="10">
        <f>IFERROR(R50/G50,0)</f>
        <v/>
      </c>
    </row>
    <row r="51">
      <c r="A51" s="7" t="n">
        <v>46253</v>
      </c>
      <c r="B51" s="5" t="inlineStr">
        <is>
          <t>Lumiere Skincare</t>
        </is>
      </c>
      <c r="C51" s="5" t="inlineStr">
        <is>
          <t>Beauty / Cosmetics</t>
        </is>
      </c>
      <c r="D51" s="5" t="inlineStr">
        <is>
          <t>B2C</t>
        </is>
      </c>
      <c r="E51" s="5" t="inlineStr">
        <is>
          <t>Instagram</t>
        </is>
      </c>
      <c r="F51" s="5" t="inlineStr">
        <is>
          <t>lumiereskincare.example.com</t>
        </is>
      </c>
      <c r="G51" s="8" t="n">
        <v>3863</v>
      </c>
      <c r="H51" s="8" t="n">
        <v>21240</v>
      </c>
      <c r="I51" s="8" t="n">
        <v>446</v>
      </c>
      <c r="J51" s="9">
        <f>I51/H51</f>
        <v/>
      </c>
      <c r="K51" s="8" t="n">
        <v>423</v>
      </c>
      <c r="L51" s="8" t="n">
        <v>12</v>
      </c>
      <c r="M51" s="5" t="inlineStr">
        <is>
          <t>N/A</t>
        </is>
      </c>
      <c r="N51" s="5" t="inlineStr">
        <is>
          <t>N/A</t>
        </is>
      </c>
      <c r="O51" s="8" t="inlineStr">
        <is>
          <t>N/A</t>
        </is>
      </c>
      <c r="P51" s="5" t="n">
        <v>12</v>
      </c>
      <c r="Q51" s="8">
        <f>IFERROR(G51/L51,0)</f>
        <v/>
      </c>
      <c r="R51" s="8" t="n">
        <v>16816</v>
      </c>
      <c r="S51" s="10">
        <f>IFERROR(R51/G51,0)</f>
        <v/>
      </c>
    </row>
    <row r="52">
      <c r="A52" s="7" t="n">
        <v>46254</v>
      </c>
      <c r="B52" s="5" t="inlineStr">
        <is>
          <t>Lumiere Skincare</t>
        </is>
      </c>
      <c r="C52" s="5" t="inlineStr">
        <is>
          <t>Beauty / Cosmetics</t>
        </is>
      </c>
      <c r="D52" s="5" t="inlineStr">
        <is>
          <t>B2C</t>
        </is>
      </c>
      <c r="E52" s="5" t="inlineStr">
        <is>
          <t>Instagram</t>
        </is>
      </c>
      <c r="F52" s="5" t="inlineStr">
        <is>
          <t>lumiereskincare.example.com</t>
        </is>
      </c>
      <c r="G52" s="8" t="n">
        <v>4686</v>
      </c>
      <c r="H52" s="8" t="n">
        <v>22429</v>
      </c>
      <c r="I52" s="8" t="n">
        <v>471</v>
      </c>
      <c r="J52" s="9">
        <f>I52/H52</f>
        <v/>
      </c>
      <c r="K52" s="8" t="n">
        <v>449</v>
      </c>
      <c r="L52" s="8" t="n">
        <v>12</v>
      </c>
      <c r="M52" s="5" t="inlineStr">
        <is>
          <t>N/A</t>
        </is>
      </c>
      <c r="N52" s="5" t="inlineStr">
        <is>
          <t>N/A</t>
        </is>
      </c>
      <c r="O52" s="8" t="inlineStr">
        <is>
          <t>N/A</t>
        </is>
      </c>
      <c r="P52" s="5" t="n">
        <v>12</v>
      </c>
      <c r="Q52" s="8">
        <f>IFERROR(G52/L52,0)</f>
        <v/>
      </c>
      <c r="R52" s="8" t="n">
        <v>17757</v>
      </c>
      <c r="S52" s="10">
        <f>IFERROR(R52/G52,0)</f>
        <v/>
      </c>
    </row>
    <row r="53">
      <c r="A53" s="7" t="n">
        <v>46255</v>
      </c>
      <c r="B53" s="5" t="inlineStr">
        <is>
          <t>Lumiere Skincare</t>
        </is>
      </c>
      <c r="C53" s="5" t="inlineStr">
        <is>
          <t>Beauty / Cosmetics</t>
        </is>
      </c>
      <c r="D53" s="5" t="inlineStr">
        <is>
          <t>B2C</t>
        </is>
      </c>
      <c r="E53" s="5" t="inlineStr">
        <is>
          <t>Instagram</t>
        </is>
      </c>
      <c r="F53" s="5" t="inlineStr">
        <is>
          <t>lumiereskincare.example.com</t>
        </is>
      </c>
      <c r="G53" s="8" t="n">
        <v>4540</v>
      </c>
      <c r="H53" s="8" t="n">
        <v>22695</v>
      </c>
      <c r="I53" s="8" t="n">
        <v>477</v>
      </c>
      <c r="J53" s="9">
        <f>I53/H53</f>
        <v/>
      </c>
      <c r="K53" s="8" t="n">
        <v>436</v>
      </c>
      <c r="L53" s="8" t="n">
        <v>12</v>
      </c>
      <c r="M53" s="5" t="inlineStr">
        <is>
          <t>N/A</t>
        </is>
      </c>
      <c r="N53" s="5" t="inlineStr">
        <is>
          <t>N/A</t>
        </is>
      </c>
      <c r="O53" s="8" t="inlineStr">
        <is>
          <t>N/A</t>
        </is>
      </c>
      <c r="P53" s="5" t="n">
        <v>12</v>
      </c>
      <c r="Q53" s="8">
        <f>IFERROR(G53/L53,0)</f>
        <v/>
      </c>
      <c r="R53" s="8" t="n">
        <v>17968</v>
      </c>
      <c r="S53" s="10">
        <f>IFERROR(R53/G53,0)</f>
        <v/>
      </c>
    </row>
    <row r="54">
      <c r="A54" s="7" t="n">
        <v>46256</v>
      </c>
      <c r="B54" s="5" t="inlineStr">
        <is>
          <t>Lumiere Skincare</t>
        </is>
      </c>
      <c r="C54" s="5" t="inlineStr">
        <is>
          <t>Beauty / Cosmetics</t>
        </is>
      </c>
      <c r="D54" s="5" t="inlineStr">
        <is>
          <t>B2C</t>
        </is>
      </c>
      <c r="E54" s="5" t="inlineStr">
        <is>
          <t>Instagram</t>
        </is>
      </c>
      <c r="F54" s="5" t="inlineStr">
        <is>
          <t>lumiereskincare.example.com</t>
        </is>
      </c>
      <c r="G54" s="8" t="n">
        <v>4058</v>
      </c>
      <c r="H54" s="8" t="n">
        <v>17796</v>
      </c>
      <c r="I54" s="8" t="n">
        <v>374</v>
      </c>
      <c r="J54" s="9">
        <f>I54/H54</f>
        <v/>
      </c>
      <c r="K54" s="8" t="n">
        <v>347</v>
      </c>
      <c r="L54" s="8" t="n">
        <v>10</v>
      </c>
      <c r="M54" s="5" t="inlineStr">
        <is>
          <t>N/A</t>
        </is>
      </c>
      <c r="N54" s="5" t="inlineStr">
        <is>
          <t>N/A</t>
        </is>
      </c>
      <c r="O54" s="8" t="inlineStr">
        <is>
          <t>N/A</t>
        </is>
      </c>
      <c r="P54" s="5" t="n">
        <v>10</v>
      </c>
      <c r="Q54" s="8">
        <f>IFERROR(G54/L54,0)</f>
        <v/>
      </c>
      <c r="R54" s="8" t="n">
        <v>14089</v>
      </c>
      <c r="S54" s="10">
        <f>IFERROR(R54/G54,0)</f>
        <v/>
      </c>
    </row>
    <row r="55">
      <c r="A55" s="7" t="n">
        <v>46257</v>
      </c>
      <c r="B55" s="5" t="inlineStr">
        <is>
          <t>Lumiere Skincare</t>
        </is>
      </c>
      <c r="C55" s="5" t="inlineStr">
        <is>
          <t>Beauty / Cosmetics</t>
        </is>
      </c>
      <c r="D55" s="5" t="inlineStr">
        <is>
          <t>B2C</t>
        </is>
      </c>
      <c r="E55" s="5" t="inlineStr">
        <is>
          <t>Instagram</t>
        </is>
      </c>
      <c r="F55" s="5" t="inlineStr">
        <is>
          <t>lumiereskincare.example.com</t>
        </is>
      </c>
      <c r="G55" s="8" t="n">
        <v>4255</v>
      </c>
      <c r="H55" s="8" t="n">
        <v>19502</v>
      </c>
      <c r="I55" s="8" t="n">
        <v>410</v>
      </c>
      <c r="J55" s="9">
        <f>I55/H55</f>
        <v/>
      </c>
      <c r="K55" s="8" t="n">
        <v>398</v>
      </c>
      <c r="L55" s="8" t="n">
        <v>11</v>
      </c>
      <c r="M55" s="5" t="inlineStr">
        <is>
          <t>N/A</t>
        </is>
      </c>
      <c r="N55" s="5" t="inlineStr">
        <is>
          <t>N/A</t>
        </is>
      </c>
      <c r="O55" s="8" t="inlineStr">
        <is>
          <t>N/A</t>
        </is>
      </c>
      <c r="P55" s="5" t="n">
        <v>11</v>
      </c>
      <c r="Q55" s="8">
        <f>IFERROR(G55/L55,0)</f>
        <v/>
      </c>
      <c r="R55" s="8" t="n">
        <v>15439</v>
      </c>
      <c r="S55" s="10">
        <f>IFERROR(R55/G55,0)</f>
        <v/>
      </c>
    </row>
    <row r="56">
      <c r="A56" s="7" t="n">
        <v>46258</v>
      </c>
      <c r="B56" s="5" t="inlineStr">
        <is>
          <t>Lumiere Skincare</t>
        </is>
      </c>
      <c r="C56" s="5" t="inlineStr">
        <is>
          <t>Beauty / Cosmetics</t>
        </is>
      </c>
      <c r="D56" s="5" t="inlineStr">
        <is>
          <t>B2C</t>
        </is>
      </c>
      <c r="E56" s="5" t="inlineStr">
        <is>
          <t>Instagram</t>
        </is>
      </c>
      <c r="F56" s="5" t="inlineStr">
        <is>
          <t>lumiereskincare.example.com</t>
        </is>
      </c>
      <c r="G56" s="8" t="n">
        <v>4481</v>
      </c>
      <c r="H56" s="8" t="n">
        <v>18672</v>
      </c>
      <c r="I56" s="8" t="n">
        <v>392</v>
      </c>
      <c r="J56" s="9">
        <f>I56/H56</f>
        <v/>
      </c>
      <c r="K56" s="8" t="n">
        <v>339</v>
      </c>
      <c r="L56" s="8" t="n">
        <v>10</v>
      </c>
      <c r="M56" s="5" t="inlineStr">
        <is>
          <t>N/A</t>
        </is>
      </c>
      <c r="N56" s="5" t="inlineStr">
        <is>
          <t>N/A</t>
        </is>
      </c>
      <c r="O56" s="8" t="inlineStr">
        <is>
          <t>N/A</t>
        </is>
      </c>
      <c r="P56" s="5" t="n">
        <v>10</v>
      </c>
      <c r="Q56" s="8">
        <f>IFERROR(G56/L56,0)</f>
        <v/>
      </c>
      <c r="R56" s="8" t="n">
        <v>14782</v>
      </c>
      <c r="S56" s="10">
        <f>IFERROR(R56/G56,0)</f>
        <v/>
      </c>
    </row>
    <row r="57">
      <c r="A57" s="7" t="n">
        <v>46259</v>
      </c>
      <c r="B57" s="5" t="inlineStr">
        <is>
          <t>Lumiere Skincare</t>
        </is>
      </c>
      <c r="C57" s="5" t="inlineStr">
        <is>
          <t>Beauty / Cosmetics</t>
        </is>
      </c>
      <c r="D57" s="5" t="inlineStr">
        <is>
          <t>B2C</t>
        </is>
      </c>
      <c r="E57" s="5" t="inlineStr">
        <is>
          <t>Instagram</t>
        </is>
      </c>
      <c r="F57" s="5" t="inlineStr">
        <is>
          <t>lumiereskincare.example.com</t>
        </is>
      </c>
      <c r="G57" s="8" t="n">
        <v>4416</v>
      </c>
      <c r="H57" s="8" t="n">
        <v>22466</v>
      </c>
      <c r="I57" s="8" t="n">
        <v>472</v>
      </c>
      <c r="J57" s="9">
        <f>I57/H57</f>
        <v/>
      </c>
      <c r="K57" s="8" t="n">
        <v>408</v>
      </c>
      <c r="L57" s="8" t="n">
        <v>12</v>
      </c>
      <c r="M57" s="5" t="inlineStr">
        <is>
          <t>N/A</t>
        </is>
      </c>
      <c r="N57" s="5" t="inlineStr">
        <is>
          <t>N/A</t>
        </is>
      </c>
      <c r="O57" s="8" t="inlineStr">
        <is>
          <t>N/A</t>
        </is>
      </c>
      <c r="P57" s="5" t="n">
        <v>12</v>
      </c>
      <c r="Q57" s="8">
        <f>IFERROR(G57/L57,0)</f>
        <v/>
      </c>
      <c r="R57" s="8" t="n">
        <v>17786</v>
      </c>
      <c r="S57" s="10">
        <f>IFERROR(R57/G57,0)</f>
        <v/>
      </c>
    </row>
    <row r="58">
      <c r="A58" s="7" t="n">
        <v>46260</v>
      </c>
      <c r="B58" s="5" t="inlineStr">
        <is>
          <t>Lumiere Skincare</t>
        </is>
      </c>
      <c r="C58" s="5" t="inlineStr">
        <is>
          <t>Beauty / Cosmetics</t>
        </is>
      </c>
      <c r="D58" s="5" t="inlineStr">
        <is>
          <t>B2C</t>
        </is>
      </c>
      <c r="E58" s="5" t="inlineStr">
        <is>
          <t>Instagram</t>
        </is>
      </c>
      <c r="F58" s="5" t="inlineStr">
        <is>
          <t>lumiereskincare.example.com</t>
        </is>
      </c>
      <c r="G58" s="8" t="n">
        <v>4310</v>
      </c>
      <c r="H58" s="8" t="n">
        <v>16827</v>
      </c>
      <c r="I58" s="8" t="n">
        <v>353</v>
      </c>
      <c r="J58" s="9">
        <f>I58/H58</f>
        <v/>
      </c>
      <c r="K58" s="8" t="n">
        <v>304</v>
      </c>
      <c r="L58" s="8" t="n">
        <v>9</v>
      </c>
      <c r="M58" s="5" t="inlineStr">
        <is>
          <t>N/A</t>
        </is>
      </c>
      <c r="N58" s="5" t="inlineStr">
        <is>
          <t>N/A</t>
        </is>
      </c>
      <c r="O58" s="8" t="inlineStr">
        <is>
          <t>N/A</t>
        </is>
      </c>
      <c r="P58" s="5" t="n">
        <v>9</v>
      </c>
      <c r="Q58" s="8">
        <f>IFERROR(G58/L58,0)</f>
        <v/>
      </c>
      <c r="R58" s="8" t="n">
        <v>13322</v>
      </c>
      <c r="S58" s="10">
        <f>IFERROR(R58/G58,0)</f>
        <v/>
      </c>
    </row>
    <row r="59">
      <c r="A59" s="7" t="n">
        <v>46261</v>
      </c>
      <c r="B59" s="5" t="inlineStr">
        <is>
          <t>Lumiere Skincare</t>
        </is>
      </c>
      <c r="C59" s="5" t="inlineStr">
        <is>
          <t>Beauty / Cosmetics</t>
        </is>
      </c>
      <c r="D59" s="5" t="inlineStr">
        <is>
          <t>B2C</t>
        </is>
      </c>
      <c r="E59" s="5" t="inlineStr">
        <is>
          <t>Instagram</t>
        </is>
      </c>
      <c r="F59" s="5" t="inlineStr">
        <is>
          <t>lumiereskincare.example.com</t>
        </is>
      </c>
      <c r="G59" s="8" t="n">
        <v>4368</v>
      </c>
      <c r="H59" s="8" t="n">
        <v>21727</v>
      </c>
      <c r="I59" s="8" t="n">
        <v>456</v>
      </c>
      <c r="J59" s="9">
        <f>I59/H59</f>
        <v/>
      </c>
      <c r="K59" s="8" t="n">
        <v>427</v>
      </c>
      <c r="L59" s="8" t="n">
        <v>12</v>
      </c>
      <c r="M59" s="5" t="inlineStr">
        <is>
          <t>N/A</t>
        </is>
      </c>
      <c r="N59" s="5" t="inlineStr">
        <is>
          <t>N/A</t>
        </is>
      </c>
      <c r="O59" s="8" t="inlineStr">
        <is>
          <t>N/A</t>
        </is>
      </c>
      <c r="P59" s="5" t="n">
        <v>12</v>
      </c>
      <c r="Q59" s="8">
        <f>IFERROR(G59/L59,0)</f>
        <v/>
      </c>
      <c r="R59" s="8" t="n">
        <v>17202</v>
      </c>
      <c r="S59" s="10">
        <f>IFERROR(R59/G59,0)</f>
        <v/>
      </c>
    </row>
    <row r="60">
      <c r="A60" s="7" t="n">
        <v>46262</v>
      </c>
      <c r="B60" s="5" t="inlineStr">
        <is>
          <t>Lumiere Skincare</t>
        </is>
      </c>
      <c r="C60" s="5" t="inlineStr">
        <is>
          <t>Beauty / Cosmetics</t>
        </is>
      </c>
      <c r="D60" s="5" t="inlineStr">
        <is>
          <t>B2C</t>
        </is>
      </c>
      <c r="E60" s="5" t="inlineStr">
        <is>
          <t>Instagram</t>
        </is>
      </c>
      <c r="F60" s="5" t="inlineStr">
        <is>
          <t>lumiereskincare.example.com</t>
        </is>
      </c>
      <c r="G60" s="8" t="n">
        <v>4322</v>
      </c>
      <c r="H60" s="8" t="n">
        <v>19205</v>
      </c>
      <c r="I60" s="8" t="n">
        <v>403</v>
      </c>
      <c r="J60" s="9">
        <f>I60/H60</f>
        <v/>
      </c>
      <c r="K60" s="8" t="n">
        <v>365</v>
      </c>
      <c r="L60" s="8" t="n">
        <v>10</v>
      </c>
      <c r="M60" s="5" t="inlineStr">
        <is>
          <t>N/A</t>
        </is>
      </c>
      <c r="N60" s="5" t="inlineStr">
        <is>
          <t>N/A</t>
        </is>
      </c>
      <c r="O60" s="8" t="inlineStr">
        <is>
          <t>N/A</t>
        </is>
      </c>
      <c r="P60" s="5" t="n">
        <v>10</v>
      </c>
      <c r="Q60" s="8">
        <f>IFERROR(G60/L60,0)</f>
        <v/>
      </c>
      <c r="R60" s="8" t="n">
        <v>15205</v>
      </c>
      <c r="S60" s="10">
        <f>IFERROR(R60/G60,0)</f>
        <v/>
      </c>
    </row>
    <row r="61">
      <c r="A61" s="7" t="n">
        <v>46263</v>
      </c>
      <c r="B61" s="5" t="inlineStr">
        <is>
          <t>Lumiere Skincare</t>
        </is>
      </c>
      <c r="C61" s="5" t="inlineStr">
        <is>
          <t>Beauty / Cosmetics</t>
        </is>
      </c>
      <c r="D61" s="5" t="inlineStr">
        <is>
          <t>B2C</t>
        </is>
      </c>
      <c r="E61" s="5" t="inlineStr">
        <is>
          <t>Instagram</t>
        </is>
      </c>
      <c r="F61" s="5" t="inlineStr">
        <is>
          <t>lumiereskincare.example.com</t>
        </is>
      </c>
      <c r="G61" s="8" t="n">
        <v>4447</v>
      </c>
      <c r="H61" s="8" t="n">
        <v>23063</v>
      </c>
      <c r="I61" s="8" t="n">
        <v>484</v>
      </c>
      <c r="J61" s="9">
        <f>I61/H61</f>
        <v/>
      </c>
      <c r="K61" s="8" t="n">
        <v>460</v>
      </c>
      <c r="L61" s="8" t="n">
        <v>13</v>
      </c>
      <c r="M61" s="5" t="inlineStr">
        <is>
          <t>N/A</t>
        </is>
      </c>
      <c r="N61" s="5" t="inlineStr">
        <is>
          <t>N/A</t>
        </is>
      </c>
      <c r="O61" s="8" t="inlineStr">
        <is>
          <t>N/A</t>
        </is>
      </c>
      <c r="P61" s="5" t="n">
        <v>13</v>
      </c>
      <c r="Q61" s="8">
        <f>IFERROR(G61/L61,0)</f>
        <v/>
      </c>
      <c r="R61" s="8" t="n">
        <v>18259</v>
      </c>
      <c r="S61" s="10">
        <f>IFERROR(R61/G61,0)</f>
        <v/>
      </c>
    </row>
    <row r="62">
      <c r="A62" s="7" t="n">
        <v>46264</v>
      </c>
      <c r="B62" s="5" t="inlineStr">
        <is>
          <t>Lumiere Skincare</t>
        </is>
      </c>
      <c r="C62" s="5" t="inlineStr">
        <is>
          <t>Beauty / Cosmetics</t>
        </is>
      </c>
      <c r="D62" s="5" t="inlineStr">
        <is>
          <t>B2C</t>
        </is>
      </c>
      <c r="E62" s="5" t="inlineStr">
        <is>
          <t>Instagram</t>
        </is>
      </c>
      <c r="F62" s="5" t="inlineStr">
        <is>
          <t>lumiereskincare.example.com</t>
        </is>
      </c>
      <c r="G62" s="8" t="n">
        <v>4853</v>
      </c>
      <c r="H62" s="8" t="n">
        <v>24057</v>
      </c>
      <c r="I62" s="8" t="n">
        <v>505</v>
      </c>
      <c r="J62" s="9">
        <f>I62/H62</f>
        <v/>
      </c>
      <c r="K62" s="8" t="n">
        <v>473</v>
      </c>
      <c r="L62" s="8" t="n">
        <v>13</v>
      </c>
      <c r="M62" s="5" t="inlineStr">
        <is>
          <t>N/A</t>
        </is>
      </c>
      <c r="N62" s="5" t="inlineStr">
        <is>
          <t>N/A</t>
        </is>
      </c>
      <c r="O62" s="8" t="inlineStr">
        <is>
          <t>N/A</t>
        </is>
      </c>
      <c r="P62" s="5" t="n">
        <v>13</v>
      </c>
      <c r="Q62" s="8">
        <f>IFERROR(G62/L62,0)</f>
        <v/>
      </c>
      <c r="R62" s="8" t="n">
        <v>19046</v>
      </c>
      <c r="S62" s="10">
        <f>IFERROR(R62/G62,0)</f>
        <v/>
      </c>
    </row>
    <row r="63">
      <c r="A63" s="7" t="n">
        <v>46265</v>
      </c>
      <c r="B63" s="5" t="inlineStr">
        <is>
          <t>Lumiere Skincare</t>
        </is>
      </c>
      <c r="C63" s="5" t="inlineStr">
        <is>
          <t>Beauty / Cosmetics</t>
        </is>
      </c>
      <c r="D63" s="5" t="inlineStr">
        <is>
          <t>B2C</t>
        </is>
      </c>
      <c r="E63" s="5" t="inlineStr">
        <is>
          <t>Instagram</t>
        </is>
      </c>
      <c r="F63" s="5" t="inlineStr">
        <is>
          <t>lumiereskincare.example.com</t>
        </is>
      </c>
      <c r="G63" s="8" t="n">
        <v>3609</v>
      </c>
      <c r="H63" s="8" t="n">
        <v>19999</v>
      </c>
      <c r="I63" s="8" t="n">
        <v>420</v>
      </c>
      <c r="J63" s="9">
        <f>I63/H63</f>
        <v/>
      </c>
      <c r="K63" s="8" t="n">
        <v>375</v>
      </c>
      <c r="L63" s="8" t="n">
        <v>11</v>
      </c>
      <c r="M63" s="5" t="inlineStr">
        <is>
          <t>N/A</t>
        </is>
      </c>
      <c r="N63" s="5" t="inlineStr">
        <is>
          <t>N/A</t>
        </is>
      </c>
      <c r="O63" s="8" t="inlineStr">
        <is>
          <t>N/A</t>
        </is>
      </c>
      <c r="P63" s="5" t="n">
        <v>11</v>
      </c>
      <c r="Q63" s="8">
        <f>IFERROR(G63/L63,0)</f>
        <v/>
      </c>
      <c r="R63" s="8" t="n">
        <v>15833</v>
      </c>
      <c r="S63" s="10">
        <f>IFERROR(R63/G63,0)</f>
        <v/>
      </c>
    </row>
    <row r="64">
      <c r="A64" s="7" t="n">
        <v>46235</v>
      </c>
      <c r="B64" s="5" t="inlineStr">
        <is>
          <t>Lumiere Skincare</t>
        </is>
      </c>
      <c r="C64" s="5" t="inlineStr">
        <is>
          <t>Beauty / Cosmetics</t>
        </is>
      </c>
      <c r="D64" s="5" t="inlineStr">
        <is>
          <t>B2C</t>
        </is>
      </c>
      <c r="E64" s="5" t="inlineStr">
        <is>
          <t>Facebook</t>
        </is>
      </c>
      <c r="F64" s="5" t="inlineStr">
        <is>
          <t>lumiereskincare.example.com</t>
        </is>
      </c>
      <c r="G64" s="8" t="n">
        <v>3659</v>
      </c>
      <c r="H64" s="8" t="n">
        <v>20555</v>
      </c>
      <c r="I64" s="8" t="n">
        <v>329</v>
      </c>
      <c r="J64" s="9">
        <f>I64/H64</f>
        <v/>
      </c>
      <c r="K64" s="8" t="n">
        <v>315</v>
      </c>
      <c r="L64" s="8" t="n">
        <v>7</v>
      </c>
      <c r="M64" s="5" t="inlineStr">
        <is>
          <t>N/A</t>
        </is>
      </c>
      <c r="N64" s="5" t="inlineStr">
        <is>
          <t>N/A</t>
        </is>
      </c>
      <c r="O64" s="8" t="inlineStr">
        <is>
          <t>N/A</t>
        </is>
      </c>
      <c r="P64" s="5" t="n">
        <v>7</v>
      </c>
      <c r="Q64" s="8">
        <f>IFERROR(G64/L64,0)</f>
        <v/>
      </c>
      <c r="R64" s="8" t="n">
        <v>10014</v>
      </c>
      <c r="S64" s="10">
        <f>IFERROR(R64/G64,0)</f>
        <v/>
      </c>
    </row>
    <row r="65">
      <c r="A65" s="7" t="n">
        <v>46236</v>
      </c>
      <c r="B65" s="5" t="inlineStr">
        <is>
          <t>Lumiere Skincare</t>
        </is>
      </c>
      <c r="C65" s="5" t="inlineStr">
        <is>
          <t>Beauty / Cosmetics</t>
        </is>
      </c>
      <c r="D65" s="5" t="inlineStr">
        <is>
          <t>B2C</t>
        </is>
      </c>
      <c r="E65" s="5" t="inlineStr">
        <is>
          <t>Facebook</t>
        </is>
      </c>
      <c r="F65" s="5" t="inlineStr">
        <is>
          <t>lumiereskincare.example.com</t>
        </is>
      </c>
      <c r="G65" s="8" t="n">
        <v>3659</v>
      </c>
      <c r="H65" s="8" t="n">
        <v>20755</v>
      </c>
      <c r="I65" s="8" t="n">
        <v>332</v>
      </c>
      <c r="J65" s="9">
        <f>I65/H65</f>
        <v/>
      </c>
      <c r="K65" s="8" t="n">
        <v>284</v>
      </c>
      <c r="L65" s="8" t="n">
        <v>7</v>
      </c>
      <c r="M65" s="5" t="inlineStr">
        <is>
          <t>N/A</t>
        </is>
      </c>
      <c r="N65" s="5" t="inlineStr">
        <is>
          <t>N/A</t>
        </is>
      </c>
      <c r="O65" s="8" t="inlineStr">
        <is>
          <t>N/A</t>
        </is>
      </c>
      <c r="P65" s="5" t="n">
        <v>7</v>
      </c>
      <c r="Q65" s="8">
        <f>IFERROR(G65/L65,0)</f>
        <v/>
      </c>
      <c r="R65" s="8" t="n">
        <v>10112</v>
      </c>
      <c r="S65" s="10">
        <f>IFERROR(R65/G65,0)</f>
        <v/>
      </c>
    </row>
    <row r="66">
      <c r="A66" s="7" t="n">
        <v>46237</v>
      </c>
      <c r="B66" s="5" t="inlineStr">
        <is>
          <t>Lumiere Skincare</t>
        </is>
      </c>
      <c r="C66" s="5" t="inlineStr">
        <is>
          <t>Beauty / Cosmetics</t>
        </is>
      </c>
      <c r="D66" s="5" t="inlineStr">
        <is>
          <t>B2C</t>
        </is>
      </c>
      <c r="E66" s="5" t="inlineStr">
        <is>
          <t>Facebook</t>
        </is>
      </c>
      <c r="F66" s="5" t="inlineStr">
        <is>
          <t>lumiereskincare.example.com</t>
        </is>
      </c>
      <c r="G66" s="8" t="n">
        <v>3668</v>
      </c>
      <c r="H66" s="8" t="n">
        <v>20224</v>
      </c>
      <c r="I66" s="8" t="n">
        <v>324</v>
      </c>
      <c r="J66" s="9">
        <f>I66/H66</f>
        <v/>
      </c>
      <c r="K66" s="8" t="n">
        <v>284</v>
      </c>
      <c r="L66" s="8" t="n">
        <v>7</v>
      </c>
      <c r="M66" s="5" t="inlineStr">
        <is>
          <t>N/A</t>
        </is>
      </c>
      <c r="N66" s="5" t="inlineStr">
        <is>
          <t>N/A</t>
        </is>
      </c>
      <c r="O66" s="8" t="inlineStr">
        <is>
          <t>N/A</t>
        </is>
      </c>
      <c r="P66" s="5" t="n">
        <v>7</v>
      </c>
      <c r="Q66" s="8">
        <f>IFERROR(G66/L66,0)</f>
        <v/>
      </c>
      <c r="R66" s="8" t="n">
        <v>9853</v>
      </c>
      <c r="S66" s="10">
        <f>IFERROR(R66/G66,0)</f>
        <v/>
      </c>
    </row>
    <row r="67">
      <c r="A67" s="7" t="n">
        <v>46238</v>
      </c>
      <c r="B67" s="5" t="inlineStr">
        <is>
          <t>Lumiere Skincare</t>
        </is>
      </c>
      <c r="C67" s="5" t="inlineStr">
        <is>
          <t>Beauty / Cosmetics</t>
        </is>
      </c>
      <c r="D67" s="5" t="inlineStr">
        <is>
          <t>B2C</t>
        </is>
      </c>
      <c r="E67" s="5" t="inlineStr">
        <is>
          <t>Facebook</t>
        </is>
      </c>
      <c r="F67" s="5" t="inlineStr">
        <is>
          <t>lumiereskincare.example.com</t>
        </is>
      </c>
      <c r="G67" s="8" t="n">
        <v>3382</v>
      </c>
      <c r="H67" s="8" t="n">
        <v>14991</v>
      </c>
      <c r="I67" s="8" t="n">
        <v>240</v>
      </c>
      <c r="J67" s="9">
        <f>I67/H67</f>
        <v/>
      </c>
      <c r="K67" s="8" t="n">
        <v>208</v>
      </c>
      <c r="L67" s="8" t="n">
        <v>5</v>
      </c>
      <c r="M67" s="5" t="inlineStr">
        <is>
          <t>N/A</t>
        </is>
      </c>
      <c r="N67" s="5" t="inlineStr">
        <is>
          <t>N/A</t>
        </is>
      </c>
      <c r="O67" s="8" t="inlineStr">
        <is>
          <t>N/A</t>
        </is>
      </c>
      <c r="P67" s="5" t="n">
        <v>5</v>
      </c>
      <c r="Q67" s="8">
        <f>IFERROR(G67/L67,0)</f>
        <v/>
      </c>
      <c r="R67" s="8" t="n">
        <v>7303</v>
      </c>
      <c r="S67" s="10">
        <f>IFERROR(R67/G67,0)</f>
        <v/>
      </c>
    </row>
    <row r="68">
      <c r="A68" s="7" t="n">
        <v>46239</v>
      </c>
      <c r="B68" s="5" t="inlineStr">
        <is>
          <t>Lumiere Skincare</t>
        </is>
      </c>
      <c r="C68" s="5" t="inlineStr">
        <is>
          <t>Beauty / Cosmetics</t>
        </is>
      </c>
      <c r="D68" s="5" t="inlineStr">
        <is>
          <t>B2C</t>
        </is>
      </c>
      <c r="E68" s="5" t="inlineStr">
        <is>
          <t>Facebook</t>
        </is>
      </c>
      <c r="F68" s="5" t="inlineStr">
        <is>
          <t>lumiereskincare.example.com</t>
        </is>
      </c>
      <c r="G68" s="8" t="n">
        <v>3563</v>
      </c>
      <c r="H68" s="8" t="n">
        <v>13743</v>
      </c>
      <c r="I68" s="8" t="n">
        <v>220</v>
      </c>
      <c r="J68" s="9">
        <f>I68/H68</f>
        <v/>
      </c>
      <c r="K68" s="8" t="n">
        <v>201</v>
      </c>
      <c r="L68" s="8" t="n">
        <v>5</v>
      </c>
      <c r="M68" s="5" t="inlineStr">
        <is>
          <t>N/A</t>
        </is>
      </c>
      <c r="N68" s="5" t="inlineStr">
        <is>
          <t>N/A</t>
        </is>
      </c>
      <c r="O68" s="8" t="inlineStr">
        <is>
          <t>N/A</t>
        </is>
      </c>
      <c r="P68" s="5" t="n">
        <v>5</v>
      </c>
      <c r="Q68" s="8">
        <f>IFERROR(G68/L68,0)</f>
        <v/>
      </c>
      <c r="R68" s="8" t="n">
        <v>6695</v>
      </c>
      <c r="S68" s="10">
        <f>IFERROR(R68/G68,0)</f>
        <v/>
      </c>
    </row>
    <row r="69">
      <c r="A69" s="7" t="n">
        <v>46240</v>
      </c>
      <c r="B69" s="5" t="inlineStr">
        <is>
          <t>Lumiere Skincare</t>
        </is>
      </c>
      <c r="C69" s="5" t="inlineStr">
        <is>
          <t>Beauty / Cosmetics</t>
        </is>
      </c>
      <c r="D69" s="5" t="inlineStr">
        <is>
          <t>B2C</t>
        </is>
      </c>
      <c r="E69" s="5" t="inlineStr">
        <is>
          <t>Facebook</t>
        </is>
      </c>
      <c r="F69" s="5" t="inlineStr">
        <is>
          <t>lumiereskincare.example.com</t>
        </is>
      </c>
      <c r="G69" s="8" t="n">
        <v>3562</v>
      </c>
      <c r="H69" s="8" t="n">
        <v>19131</v>
      </c>
      <c r="I69" s="8" t="n">
        <v>306</v>
      </c>
      <c r="J69" s="9">
        <f>I69/H69</f>
        <v/>
      </c>
      <c r="K69" s="8" t="n">
        <v>290</v>
      </c>
      <c r="L69" s="8" t="n">
        <v>6</v>
      </c>
      <c r="M69" s="5" t="inlineStr">
        <is>
          <t>N/A</t>
        </is>
      </c>
      <c r="N69" s="5" t="inlineStr">
        <is>
          <t>N/A</t>
        </is>
      </c>
      <c r="O69" s="8" t="inlineStr">
        <is>
          <t>N/A</t>
        </is>
      </c>
      <c r="P69" s="5" t="n">
        <v>6</v>
      </c>
      <c r="Q69" s="8">
        <f>IFERROR(G69/L69,0)</f>
        <v/>
      </c>
      <c r="R69" s="8" t="n">
        <v>9320</v>
      </c>
      <c r="S69" s="10">
        <f>IFERROR(R69/G69,0)</f>
        <v/>
      </c>
    </row>
    <row r="70">
      <c r="A70" s="7" t="n">
        <v>46241</v>
      </c>
      <c r="B70" s="5" t="inlineStr">
        <is>
          <t>Lumiere Skincare</t>
        </is>
      </c>
      <c r="C70" s="5" t="inlineStr">
        <is>
          <t>Beauty / Cosmetics</t>
        </is>
      </c>
      <c r="D70" s="5" t="inlineStr">
        <is>
          <t>B2C</t>
        </is>
      </c>
      <c r="E70" s="5" t="inlineStr">
        <is>
          <t>Facebook</t>
        </is>
      </c>
      <c r="F70" s="5" t="inlineStr">
        <is>
          <t>lumiereskincare.example.com</t>
        </is>
      </c>
      <c r="G70" s="8" t="n">
        <v>3697</v>
      </c>
      <c r="H70" s="8" t="n">
        <v>18611</v>
      </c>
      <c r="I70" s="8" t="n">
        <v>298</v>
      </c>
      <c r="J70" s="9">
        <f>I70/H70</f>
        <v/>
      </c>
      <c r="K70" s="8" t="n">
        <v>277</v>
      </c>
      <c r="L70" s="8" t="n">
        <v>6</v>
      </c>
      <c r="M70" s="5" t="inlineStr">
        <is>
          <t>N/A</t>
        </is>
      </c>
      <c r="N70" s="5" t="inlineStr">
        <is>
          <t>N/A</t>
        </is>
      </c>
      <c r="O70" s="8" t="inlineStr">
        <is>
          <t>N/A</t>
        </is>
      </c>
      <c r="P70" s="5" t="n">
        <v>6</v>
      </c>
      <c r="Q70" s="8">
        <f>IFERROR(G70/L70,0)</f>
        <v/>
      </c>
      <c r="R70" s="8" t="n">
        <v>9067</v>
      </c>
      <c r="S70" s="10">
        <f>IFERROR(R70/G70,0)</f>
        <v/>
      </c>
    </row>
    <row r="71">
      <c r="A71" s="7" t="n">
        <v>46242</v>
      </c>
      <c r="B71" s="5" t="inlineStr">
        <is>
          <t>Lumiere Skincare</t>
        </is>
      </c>
      <c r="C71" s="5" t="inlineStr">
        <is>
          <t>Beauty / Cosmetics</t>
        </is>
      </c>
      <c r="D71" s="5" t="inlineStr">
        <is>
          <t>B2C</t>
        </is>
      </c>
      <c r="E71" s="5" t="inlineStr">
        <is>
          <t>Facebook</t>
        </is>
      </c>
      <c r="F71" s="5" t="inlineStr">
        <is>
          <t>lumiereskincare.example.com</t>
        </is>
      </c>
      <c r="G71" s="8" t="n">
        <v>3852</v>
      </c>
      <c r="H71" s="8" t="n">
        <v>21690</v>
      </c>
      <c r="I71" s="8" t="n">
        <v>347</v>
      </c>
      <c r="J71" s="9">
        <f>I71/H71</f>
        <v/>
      </c>
      <c r="K71" s="8" t="n">
        <v>333</v>
      </c>
      <c r="L71" s="8" t="n">
        <v>7</v>
      </c>
      <c r="M71" s="5" t="inlineStr">
        <is>
          <t>N/A</t>
        </is>
      </c>
      <c r="N71" s="5" t="inlineStr">
        <is>
          <t>N/A</t>
        </is>
      </c>
      <c r="O71" s="8" t="inlineStr">
        <is>
          <t>N/A</t>
        </is>
      </c>
      <c r="P71" s="5" t="n">
        <v>7</v>
      </c>
      <c r="Q71" s="8">
        <f>IFERROR(G71/L71,0)</f>
        <v/>
      </c>
      <c r="R71" s="8" t="n">
        <v>10567</v>
      </c>
      <c r="S71" s="10">
        <f>IFERROR(R71/G71,0)</f>
        <v/>
      </c>
    </row>
    <row r="72">
      <c r="A72" s="7" t="n">
        <v>46243</v>
      </c>
      <c r="B72" s="5" t="inlineStr">
        <is>
          <t>Lumiere Skincare</t>
        </is>
      </c>
      <c r="C72" s="5" t="inlineStr">
        <is>
          <t>Beauty / Cosmetics</t>
        </is>
      </c>
      <c r="D72" s="5" t="inlineStr">
        <is>
          <t>B2C</t>
        </is>
      </c>
      <c r="E72" s="5" t="inlineStr">
        <is>
          <t>Facebook</t>
        </is>
      </c>
      <c r="F72" s="5" t="inlineStr">
        <is>
          <t>lumiereskincare.example.com</t>
        </is>
      </c>
      <c r="G72" s="8" t="n">
        <v>3333</v>
      </c>
      <c r="H72" s="8" t="n">
        <v>19287</v>
      </c>
      <c r="I72" s="8" t="n">
        <v>309</v>
      </c>
      <c r="J72" s="9">
        <f>I72/H72</f>
        <v/>
      </c>
      <c r="K72" s="8" t="n">
        <v>269</v>
      </c>
      <c r="L72" s="8" t="n">
        <v>6</v>
      </c>
      <c r="M72" s="5" t="inlineStr">
        <is>
          <t>N/A</t>
        </is>
      </c>
      <c r="N72" s="5" t="inlineStr">
        <is>
          <t>N/A</t>
        </is>
      </c>
      <c r="O72" s="8" t="inlineStr">
        <is>
          <t>N/A</t>
        </is>
      </c>
      <c r="P72" s="5" t="n">
        <v>6</v>
      </c>
      <c r="Q72" s="8">
        <f>IFERROR(G72/L72,0)</f>
        <v/>
      </c>
      <c r="R72" s="8" t="n">
        <v>9396</v>
      </c>
      <c r="S72" s="10">
        <f>IFERROR(R72/G72,0)</f>
        <v/>
      </c>
    </row>
    <row r="73">
      <c r="A73" s="7" t="n">
        <v>46244</v>
      </c>
      <c r="B73" s="5" t="inlineStr">
        <is>
          <t>Lumiere Skincare</t>
        </is>
      </c>
      <c r="C73" s="5" t="inlineStr">
        <is>
          <t>Beauty / Cosmetics</t>
        </is>
      </c>
      <c r="D73" s="5" t="inlineStr">
        <is>
          <t>B2C</t>
        </is>
      </c>
      <c r="E73" s="5" t="inlineStr">
        <is>
          <t>Facebook</t>
        </is>
      </c>
      <c r="F73" s="5" t="inlineStr">
        <is>
          <t>lumiereskincare.example.com</t>
        </is>
      </c>
      <c r="G73" s="8" t="n">
        <v>3568</v>
      </c>
      <c r="H73" s="8" t="n">
        <v>19360</v>
      </c>
      <c r="I73" s="8" t="n">
        <v>310</v>
      </c>
      <c r="J73" s="9">
        <f>I73/H73</f>
        <v/>
      </c>
      <c r="K73" s="8" t="n">
        <v>293</v>
      </c>
      <c r="L73" s="8" t="n">
        <v>7</v>
      </c>
      <c r="M73" s="5" t="inlineStr">
        <is>
          <t>N/A</t>
        </is>
      </c>
      <c r="N73" s="5" t="inlineStr">
        <is>
          <t>N/A</t>
        </is>
      </c>
      <c r="O73" s="8" t="inlineStr">
        <is>
          <t>N/A</t>
        </is>
      </c>
      <c r="P73" s="5" t="n">
        <v>7</v>
      </c>
      <c r="Q73" s="8">
        <f>IFERROR(G73/L73,0)</f>
        <v/>
      </c>
      <c r="R73" s="8" t="n">
        <v>9432</v>
      </c>
      <c r="S73" s="10">
        <f>IFERROR(R73/G73,0)</f>
        <v/>
      </c>
    </row>
    <row r="74">
      <c r="A74" s="7" t="n">
        <v>46245</v>
      </c>
      <c r="B74" s="5" t="inlineStr">
        <is>
          <t>Lumiere Skincare</t>
        </is>
      </c>
      <c r="C74" s="5" t="inlineStr">
        <is>
          <t>Beauty / Cosmetics</t>
        </is>
      </c>
      <c r="D74" s="5" t="inlineStr">
        <is>
          <t>B2C</t>
        </is>
      </c>
      <c r="E74" s="5" t="inlineStr">
        <is>
          <t>Facebook</t>
        </is>
      </c>
      <c r="F74" s="5" t="inlineStr">
        <is>
          <t>lumiereskincare.example.com</t>
        </is>
      </c>
      <c r="G74" s="8" t="n">
        <v>3973</v>
      </c>
      <c r="H74" s="8" t="n">
        <v>23138</v>
      </c>
      <c r="I74" s="8" t="n">
        <v>370</v>
      </c>
      <c r="J74" s="9">
        <f>I74/H74</f>
        <v/>
      </c>
      <c r="K74" s="8" t="n">
        <v>324</v>
      </c>
      <c r="L74" s="8" t="n">
        <v>8</v>
      </c>
      <c r="M74" s="5" t="inlineStr">
        <is>
          <t>N/A</t>
        </is>
      </c>
      <c r="N74" s="5" t="inlineStr">
        <is>
          <t>N/A</t>
        </is>
      </c>
      <c r="O74" s="8" t="inlineStr">
        <is>
          <t>N/A</t>
        </is>
      </c>
      <c r="P74" s="5" t="n">
        <v>8</v>
      </c>
      <c r="Q74" s="8">
        <f>IFERROR(G74/L74,0)</f>
        <v/>
      </c>
      <c r="R74" s="8" t="n">
        <v>11273</v>
      </c>
      <c r="S74" s="10">
        <f>IFERROR(R74/G74,0)</f>
        <v/>
      </c>
    </row>
    <row r="75">
      <c r="A75" s="7" t="n">
        <v>46246</v>
      </c>
      <c r="B75" s="5" t="inlineStr">
        <is>
          <t>Lumiere Skincare</t>
        </is>
      </c>
      <c r="C75" s="5" t="inlineStr">
        <is>
          <t>Beauty / Cosmetics</t>
        </is>
      </c>
      <c r="D75" s="5" t="inlineStr">
        <is>
          <t>B2C</t>
        </is>
      </c>
      <c r="E75" s="5" t="inlineStr">
        <is>
          <t>Facebook</t>
        </is>
      </c>
      <c r="F75" s="5" t="inlineStr">
        <is>
          <t>lumiereskincare.example.com</t>
        </is>
      </c>
      <c r="G75" s="8" t="n">
        <v>3413</v>
      </c>
      <c r="H75" s="8" t="n">
        <v>18713</v>
      </c>
      <c r="I75" s="8" t="n">
        <v>299</v>
      </c>
      <c r="J75" s="9">
        <f>I75/H75</f>
        <v/>
      </c>
      <c r="K75" s="8" t="n">
        <v>265</v>
      </c>
      <c r="L75" s="8" t="n">
        <v>6</v>
      </c>
      <c r="M75" s="5" t="inlineStr">
        <is>
          <t>N/A</t>
        </is>
      </c>
      <c r="N75" s="5" t="inlineStr">
        <is>
          <t>N/A</t>
        </is>
      </c>
      <c r="O75" s="8" t="inlineStr">
        <is>
          <t>N/A</t>
        </is>
      </c>
      <c r="P75" s="5" t="n">
        <v>6</v>
      </c>
      <c r="Q75" s="8">
        <f>IFERROR(G75/L75,0)</f>
        <v/>
      </c>
      <c r="R75" s="8" t="n">
        <v>9117</v>
      </c>
      <c r="S75" s="10">
        <f>IFERROR(R75/G75,0)</f>
        <v/>
      </c>
    </row>
    <row r="76">
      <c r="A76" s="7" t="n">
        <v>46247</v>
      </c>
      <c r="B76" s="5" t="inlineStr">
        <is>
          <t>Lumiere Skincare</t>
        </is>
      </c>
      <c r="C76" s="5" t="inlineStr">
        <is>
          <t>Beauty / Cosmetics</t>
        </is>
      </c>
      <c r="D76" s="5" t="inlineStr">
        <is>
          <t>B2C</t>
        </is>
      </c>
      <c r="E76" s="5" t="inlineStr">
        <is>
          <t>Facebook</t>
        </is>
      </c>
      <c r="F76" s="5" t="inlineStr">
        <is>
          <t>lumiereskincare.example.com</t>
        </is>
      </c>
      <c r="G76" s="8" t="n">
        <v>3393</v>
      </c>
      <c r="H76" s="8" t="n">
        <v>19258</v>
      </c>
      <c r="I76" s="8" t="n">
        <v>308</v>
      </c>
      <c r="J76" s="9">
        <f>I76/H76</f>
        <v/>
      </c>
      <c r="K76" s="8" t="n">
        <v>290</v>
      </c>
      <c r="L76" s="8" t="n">
        <v>6</v>
      </c>
      <c r="M76" s="5" t="inlineStr">
        <is>
          <t>N/A</t>
        </is>
      </c>
      <c r="N76" s="5" t="inlineStr">
        <is>
          <t>N/A</t>
        </is>
      </c>
      <c r="O76" s="8" t="inlineStr">
        <is>
          <t>N/A</t>
        </is>
      </c>
      <c r="P76" s="5" t="n">
        <v>6</v>
      </c>
      <c r="Q76" s="8">
        <f>IFERROR(G76/L76,0)</f>
        <v/>
      </c>
      <c r="R76" s="8" t="n">
        <v>9382</v>
      </c>
      <c r="S76" s="10">
        <f>IFERROR(R76/G76,0)</f>
        <v/>
      </c>
    </row>
    <row r="77">
      <c r="A77" s="7" t="n">
        <v>46248</v>
      </c>
      <c r="B77" s="5" t="inlineStr">
        <is>
          <t>Lumiere Skincare</t>
        </is>
      </c>
      <c r="C77" s="5" t="inlineStr">
        <is>
          <t>Beauty / Cosmetics</t>
        </is>
      </c>
      <c r="D77" s="5" t="inlineStr">
        <is>
          <t>B2C</t>
        </is>
      </c>
      <c r="E77" s="5" t="inlineStr">
        <is>
          <t>Facebook</t>
        </is>
      </c>
      <c r="F77" s="5" t="inlineStr">
        <is>
          <t>lumiereskincare.example.com</t>
        </is>
      </c>
      <c r="G77" s="8" t="n">
        <v>3651</v>
      </c>
      <c r="H77" s="8" t="n">
        <v>17836</v>
      </c>
      <c r="I77" s="8" t="n">
        <v>285</v>
      </c>
      <c r="J77" s="9">
        <f>I77/H77</f>
        <v/>
      </c>
      <c r="K77" s="8" t="n">
        <v>279</v>
      </c>
      <c r="L77" s="8" t="n">
        <v>6</v>
      </c>
      <c r="M77" s="5" t="inlineStr">
        <is>
          <t>N/A</t>
        </is>
      </c>
      <c r="N77" s="5" t="inlineStr">
        <is>
          <t>N/A</t>
        </is>
      </c>
      <c r="O77" s="8" t="inlineStr">
        <is>
          <t>N/A</t>
        </is>
      </c>
      <c r="P77" s="5" t="n">
        <v>6</v>
      </c>
      <c r="Q77" s="8">
        <f>IFERROR(G77/L77,0)</f>
        <v/>
      </c>
      <c r="R77" s="8" t="n">
        <v>8690</v>
      </c>
      <c r="S77" s="10">
        <f>IFERROR(R77/G77,0)</f>
        <v/>
      </c>
    </row>
    <row r="78">
      <c r="A78" s="7" t="n">
        <v>46249</v>
      </c>
      <c r="B78" s="5" t="inlineStr">
        <is>
          <t>Lumiere Skincare</t>
        </is>
      </c>
      <c r="C78" s="5" t="inlineStr">
        <is>
          <t>Beauty / Cosmetics</t>
        </is>
      </c>
      <c r="D78" s="5" t="inlineStr">
        <is>
          <t>B2C</t>
        </is>
      </c>
      <c r="E78" s="5" t="inlineStr">
        <is>
          <t>Facebook</t>
        </is>
      </c>
      <c r="F78" s="5" t="inlineStr">
        <is>
          <t>lumiereskincare.example.com</t>
        </is>
      </c>
      <c r="G78" s="8" t="n">
        <v>3813</v>
      </c>
      <c r="H78" s="8" t="n">
        <v>19909</v>
      </c>
      <c r="I78" s="8" t="n">
        <v>319</v>
      </c>
      <c r="J78" s="9">
        <f>I78/H78</f>
        <v/>
      </c>
      <c r="K78" s="8" t="n">
        <v>296</v>
      </c>
      <c r="L78" s="8" t="n">
        <v>7</v>
      </c>
      <c r="M78" s="5" t="inlineStr">
        <is>
          <t>N/A</t>
        </is>
      </c>
      <c r="N78" s="5" t="inlineStr">
        <is>
          <t>N/A</t>
        </is>
      </c>
      <c r="O78" s="8" t="inlineStr">
        <is>
          <t>N/A</t>
        </is>
      </c>
      <c r="P78" s="5" t="n">
        <v>7</v>
      </c>
      <c r="Q78" s="8">
        <f>IFERROR(G78/L78,0)</f>
        <v/>
      </c>
      <c r="R78" s="8" t="n">
        <v>9700</v>
      </c>
      <c r="S78" s="10">
        <f>IFERROR(R78/G78,0)</f>
        <v/>
      </c>
    </row>
    <row r="79">
      <c r="A79" s="7" t="n">
        <v>46250</v>
      </c>
      <c r="B79" s="5" t="inlineStr">
        <is>
          <t>Lumiere Skincare</t>
        </is>
      </c>
      <c r="C79" s="5" t="inlineStr">
        <is>
          <t>Beauty / Cosmetics</t>
        </is>
      </c>
      <c r="D79" s="5" t="inlineStr">
        <is>
          <t>B2C</t>
        </is>
      </c>
      <c r="E79" s="5" t="inlineStr">
        <is>
          <t>Facebook</t>
        </is>
      </c>
      <c r="F79" s="5" t="inlineStr">
        <is>
          <t>lumiereskincare.example.com</t>
        </is>
      </c>
      <c r="G79" s="8" t="n">
        <v>3603</v>
      </c>
      <c r="H79" s="8" t="n">
        <v>19681</v>
      </c>
      <c r="I79" s="8" t="n">
        <v>315</v>
      </c>
      <c r="J79" s="9">
        <f>I79/H79</f>
        <v/>
      </c>
      <c r="K79" s="8" t="n">
        <v>270</v>
      </c>
      <c r="L79" s="8" t="n">
        <v>7</v>
      </c>
      <c r="M79" s="5" t="inlineStr">
        <is>
          <t>N/A</t>
        </is>
      </c>
      <c r="N79" s="5" t="inlineStr">
        <is>
          <t>N/A</t>
        </is>
      </c>
      <c r="O79" s="8" t="inlineStr">
        <is>
          <t>N/A</t>
        </is>
      </c>
      <c r="P79" s="5" t="n">
        <v>7</v>
      </c>
      <c r="Q79" s="8">
        <f>IFERROR(G79/L79,0)</f>
        <v/>
      </c>
      <c r="R79" s="8" t="n">
        <v>9589</v>
      </c>
      <c r="S79" s="10">
        <f>IFERROR(R79/G79,0)</f>
        <v/>
      </c>
    </row>
    <row r="80">
      <c r="A80" s="7" t="n">
        <v>46251</v>
      </c>
      <c r="B80" s="5" t="inlineStr">
        <is>
          <t>Lumiere Skincare</t>
        </is>
      </c>
      <c r="C80" s="5" t="inlineStr">
        <is>
          <t>Beauty / Cosmetics</t>
        </is>
      </c>
      <c r="D80" s="5" t="inlineStr">
        <is>
          <t>B2C</t>
        </is>
      </c>
      <c r="E80" s="5" t="inlineStr">
        <is>
          <t>Facebook</t>
        </is>
      </c>
      <c r="F80" s="5" t="inlineStr">
        <is>
          <t>lumiereskincare.example.com</t>
        </is>
      </c>
      <c r="G80" s="8" t="n">
        <v>3935</v>
      </c>
      <c r="H80" s="8" t="n">
        <v>23067</v>
      </c>
      <c r="I80" s="8" t="n">
        <v>369</v>
      </c>
      <c r="J80" s="9">
        <f>I80/H80</f>
        <v/>
      </c>
      <c r="K80" s="8" t="n">
        <v>343</v>
      </c>
      <c r="L80" s="8" t="n">
        <v>8</v>
      </c>
      <c r="M80" s="5" t="inlineStr">
        <is>
          <t>N/A</t>
        </is>
      </c>
      <c r="N80" s="5" t="inlineStr">
        <is>
          <t>N/A</t>
        </is>
      </c>
      <c r="O80" s="8" t="inlineStr">
        <is>
          <t>N/A</t>
        </is>
      </c>
      <c r="P80" s="5" t="n">
        <v>8</v>
      </c>
      <c r="Q80" s="8">
        <f>IFERROR(G80/L80,0)</f>
        <v/>
      </c>
      <c r="R80" s="8" t="n">
        <v>11238</v>
      </c>
      <c r="S80" s="10">
        <f>IFERROR(R80/G80,0)</f>
        <v/>
      </c>
    </row>
    <row r="81">
      <c r="A81" s="7" t="n">
        <v>46252</v>
      </c>
      <c r="B81" s="5" t="inlineStr">
        <is>
          <t>Lumiere Skincare</t>
        </is>
      </c>
      <c r="C81" s="5" t="inlineStr">
        <is>
          <t>Beauty / Cosmetics</t>
        </is>
      </c>
      <c r="D81" s="5" t="inlineStr">
        <is>
          <t>B2C</t>
        </is>
      </c>
      <c r="E81" s="5" t="inlineStr">
        <is>
          <t>Facebook</t>
        </is>
      </c>
      <c r="F81" s="5" t="inlineStr">
        <is>
          <t>lumiereskincare.example.com</t>
        </is>
      </c>
      <c r="G81" s="8" t="n">
        <v>3816</v>
      </c>
      <c r="H81" s="8" t="n">
        <v>19402</v>
      </c>
      <c r="I81" s="8" t="n">
        <v>310</v>
      </c>
      <c r="J81" s="9">
        <f>I81/H81</f>
        <v/>
      </c>
      <c r="K81" s="8" t="n">
        <v>266</v>
      </c>
      <c r="L81" s="8" t="n">
        <v>7</v>
      </c>
      <c r="M81" s="5" t="inlineStr">
        <is>
          <t>N/A</t>
        </is>
      </c>
      <c r="N81" s="5" t="inlineStr">
        <is>
          <t>N/A</t>
        </is>
      </c>
      <c r="O81" s="8" t="inlineStr">
        <is>
          <t>N/A</t>
        </is>
      </c>
      <c r="P81" s="5" t="n">
        <v>7</v>
      </c>
      <c r="Q81" s="8">
        <f>IFERROR(G81/L81,0)</f>
        <v/>
      </c>
      <c r="R81" s="8" t="n">
        <v>9453</v>
      </c>
      <c r="S81" s="10">
        <f>IFERROR(R81/G81,0)</f>
        <v/>
      </c>
    </row>
    <row r="82">
      <c r="A82" s="7" t="n">
        <v>46253</v>
      </c>
      <c r="B82" s="5" t="inlineStr">
        <is>
          <t>Lumiere Skincare</t>
        </is>
      </c>
      <c r="C82" s="5" t="inlineStr">
        <is>
          <t>Beauty / Cosmetics</t>
        </is>
      </c>
      <c r="D82" s="5" t="inlineStr">
        <is>
          <t>B2C</t>
        </is>
      </c>
      <c r="E82" s="5" t="inlineStr">
        <is>
          <t>Facebook</t>
        </is>
      </c>
      <c r="F82" s="5" t="inlineStr">
        <is>
          <t>lumiereskincare.example.com</t>
        </is>
      </c>
      <c r="G82" s="8" t="n">
        <v>3812</v>
      </c>
      <c r="H82" s="8" t="n">
        <v>21616</v>
      </c>
      <c r="I82" s="8" t="n">
        <v>346</v>
      </c>
      <c r="J82" s="9">
        <f>I82/H82</f>
        <v/>
      </c>
      <c r="K82" s="8" t="n">
        <v>334</v>
      </c>
      <c r="L82" s="8" t="n">
        <v>7</v>
      </c>
      <c r="M82" s="5" t="inlineStr">
        <is>
          <t>N/A</t>
        </is>
      </c>
      <c r="N82" s="5" t="inlineStr">
        <is>
          <t>N/A</t>
        </is>
      </c>
      <c r="O82" s="8" t="inlineStr">
        <is>
          <t>N/A</t>
        </is>
      </c>
      <c r="P82" s="5" t="n">
        <v>7</v>
      </c>
      <c r="Q82" s="8">
        <f>IFERROR(G82/L82,0)</f>
        <v/>
      </c>
      <c r="R82" s="8" t="n">
        <v>10531</v>
      </c>
      <c r="S82" s="10">
        <f>IFERROR(R82/G82,0)</f>
        <v/>
      </c>
    </row>
    <row r="83">
      <c r="A83" s="7" t="n">
        <v>46254</v>
      </c>
      <c r="B83" s="5" t="inlineStr">
        <is>
          <t>Lumiere Skincare</t>
        </is>
      </c>
      <c r="C83" s="5" t="inlineStr">
        <is>
          <t>Beauty / Cosmetics</t>
        </is>
      </c>
      <c r="D83" s="5" t="inlineStr">
        <is>
          <t>B2C</t>
        </is>
      </c>
      <c r="E83" s="5" t="inlineStr">
        <is>
          <t>Facebook</t>
        </is>
      </c>
      <c r="F83" s="5" t="inlineStr">
        <is>
          <t>lumiereskincare.example.com</t>
        </is>
      </c>
      <c r="G83" s="8" t="n">
        <v>3740</v>
      </c>
      <c r="H83" s="8" t="n">
        <v>19320</v>
      </c>
      <c r="I83" s="8" t="n">
        <v>309</v>
      </c>
      <c r="J83" s="9">
        <f>I83/H83</f>
        <v/>
      </c>
      <c r="K83" s="8" t="n">
        <v>291</v>
      </c>
      <c r="L83" s="8" t="n">
        <v>6</v>
      </c>
      <c r="M83" s="5" t="inlineStr">
        <is>
          <t>N/A</t>
        </is>
      </c>
      <c r="N83" s="5" t="inlineStr">
        <is>
          <t>N/A</t>
        </is>
      </c>
      <c r="O83" s="8" t="inlineStr">
        <is>
          <t>N/A</t>
        </is>
      </c>
      <c r="P83" s="5" t="n">
        <v>6</v>
      </c>
      <c r="Q83" s="8">
        <f>IFERROR(G83/L83,0)</f>
        <v/>
      </c>
      <c r="R83" s="8" t="n">
        <v>9413</v>
      </c>
      <c r="S83" s="10">
        <f>IFERROR(R83/G83,0)</f>
        <v/>
      </c>
    </row>
    <row r="84">
      <c r="A84" s="7" t="n">
        <v>46255</v>
      </c>
      <c r="B84" s="5" t="inlineStr">
        <is>
          <t>Lumiere Skincare</t>
        </is>
      </c>
      <c r="C84" s="5" t="inlineStr">
        <is>
          <t>Beauty / Cosmetics</t>
        </is>
      </c>
      <c r="D84" s="5" t="inlineStr">
        <is>
          <t>B2C</t>
        </is>
      </c>
      <c r="E84" s="5" t="inlineStr">
        <is>
          <t>Facebook</t>
        </is>
      </c>
      <c r="F84" s="5" t="inlineStr">
        <is>
          <t>lumiereskincare.example.com</t>
        </is>
      </c>
      <c r="G84" s="8" t="n">
        <v>4187</v>
      </c>
      <c r="H84" s="8" t="n">
        <v>22027</v>
      </c>
      <c r="I84" s="8" t="n">
        <v>352</v>
      </c>
      <c r="J84" s="9">
        <f>I84/H84</f>
        <v/>
      </c>
      <c r="K84" s="8" t="n">
        <v>307</v>
      </c>
      <c r="L84" s="8" t="n">
        <v>7</v>
      </c>
      <c r="M84" s="5" t="inlineStr">
        <is>
          <t>N/A</t>
        </is>
      </c>
      <c r="N84" s="5" t="inlineStr">
        <is>
          <t>N/A</t>
        </is>
      </c>
      <c r="O84" s="8" t="inlineStr">
        <is>
          <t>N/A</t>
        </is>
      </c>
      <c r="P84" s="5" t="n">
        <v>7</v>
      </c>
      <c r="Q84" s="8">
        <f>IFERROR(G84/L84,0)</f>
        <v/>
      </c>
      <c r="R84" s="8" t="n">
        <v>10732</v>
      </c>
      <c r="S84" s="10">
        <f>IFERROR(R84/G84,0)</f>
        <v/>
      </c>
    </row>
    <row r="85">
      <c r="A85" s="7" t="n">
        <v>46256</v>
      </c>
      <c r="B85" s="5" t="inlineStr">
        <is>
          <t>Lumiere Skincare</t>
        </is>
      </c>
      <c r="C85" s="5" t="inlineStr">
        <is>
          <t>Beauty / Cosmetics</t>
        </is>
      </c>
      <c r="D85" s="5" t="inlineStr">
        <is>
          <t>B2C</t>
        </is>
      </c>
      <c r="E85" s="5" t="inlineStr">
        <is>
          <t>Facebook</t>
        </is>
      </c>
      <c r="F85" s="5" t="inlineStr">
        <is>
          <t>lumiereskincare.example.com</t>
        </is>
      </c>
      <c r="G85" s="8" t="n">
        <v>3548</v>
      </c>
      <c r="H85" s="8" t="n">
        <v>20821</v>
      </c>
      <c r="I85" s="8" t="n">
        <v>333</v>
      </c>
      <c r="J85" s="9">
        <f>I85/H85</f>
        <v/>
      </c>
      <c r="K85" s="8" t="n">
        <v>287</v>
      </c>
      <c r="L85" s="8" t="n">
        <v>7</v>
      </c>
      <c r="M85" s="5" t="inlineStr">
        <is>
          <t>N/A</t>
        </is>
      </c>
      <c r="N85" s="5" t="inlineStr">
        <is>
          <t>N/A</t>
        </is>
      </c>
      <c r="O85" s="8" t="inlineStr">
        <is>
          <t>N/A</t>
        </is>
      </c>
      <c r="P85" s="5" t="n">
        <v>7</v>
      </c>
      <c r="Q85" s="8">
        <f>IFERROR(G85/L85,0)</f>
        <v/>
      </c>
      <c r="R85" s="8" t="n">
        <v>10144</v>
      </c>
      <c r="S85" s="10">
        <f>IFERROR(R85/G85,0)</f>
        <v/>
      </c>
    </row>
    <row r="86">
      <c r="A86" s="7" t="n">
        <v>46257</v>
      </c>
      <c r="B86" s="5" t="inlineStr">
        <is>
          <t>Lumiere Skincare</t>
        </is>
      </c>
      <c r="C86" s="5" t="inlineStr">
        <is>
          <t>Beauty / Cosmetics</t>
        </is>
      </c>
      <c r="D86" s="5" t="inlineStr">
        <is>
          <t>B2C</t>
        </is>
      </c>
      <c r="E86" s="5" t="inlineStr">
        <is>
          <t>Facebook</t>
        </is>
      </c>
      <c r="F86" s="5" t="inlineStr">
        <is>
          <t>lumiereskincare.example.com</t>
        </is>
      </c>
      <c r="G86" s="8" t="n">
        <v>3095</v>
      </c>
      <c r="H86" s="8" t="n">
        <v>12567</v>
      </c>
      <c r="I86" s="8" t="n">
        <v>201</v>
      </c>
      <c r="J86" s="9">
        <f>I86/H86</f>
        <v/>
      </c>
      <c r="K86" s="8" t="n">
        <v>176</v>
      </c>
      <c r="L86" s="8" t="n">
        <v>4</v>
      </c>
      <c r="M86" s="5" t="inlineStr">
        <is>
          <t>N/A</t>
        </is>
      </c>
      <c r="N86" s="5" t="inlineStr">
        <is>
          <t>N/A</t>
        </is>
      </c>
      <c r="O86" s="8" t="inlineStr">
        <is>
          <t>N/A</t>
        </is>
      </c>
      <c r="P86" s="5" t="n">
        <v>4</v>
      </c>
      <c r="Q86" s="8">
        <f>IFERROR(G86/L86,0)</f>
        <v/>
      </c>
      <c r="R86" s="8" t="n">
        <v>6123</v>
      </c>
      <c r="S86" s="10">
        <f>IFERROR(R86/G86,0)</f>
        <v/>
      </c>
    </row>
    <row r="87">
      <c r="A87" s="7" t="n">
        <v>46258</v>
      </c>
      <c r="B87" s="5" t="inlineStr">
        <is>
          <t>Lumiere Skincare</t>
        </is>
      </c>
      <c r="C87" s="5" t="inlineStr">
        <is>
          <t>Beauty / Cosmetics</t>
        </is>
      </c>
      <c r="D87" s="5" t="inlineStr">
        <is>
          <t>B2C</t>
        </is>
      </c>
      <c r="E87" s="5" t="inlineStr">
        <is>
          <t>Facebook</t>
        </is>
      </c>
      <c r="F87" s="5" t="inlineStr">
        <is>
          <t>lumiereskincare.example.com</t>
        </is>
      </c>
      <c r="G87" s="8" t="n">
        <v>4004</v>
      </c>
      <c r="H87" s="8" t="n">
        <v>18045</v>
      </c>
      <c r="I87" s="8" t="n">
        <v>289</v>
      </c>
      <c r="J87" s="9">
        <f>I87/H87</f>
        <v/>
      </c>
      <c r="K87" s="8" t="n">
        <v>282</v>
      </c>
      <c r="L87" s="8" t="n">
        <v>6</v>
      </c>
      <c r="M87" s="5" t="inlineStr">
        <is>
          <t>N/A</t>
        </is>
      </c>
      <c r="N87" s="5" t="inlineStr">
        <is>
          <t>N/A</t>
        </is>
      </c>
      <c r="O87" s="8" t="inlineStr">
        <is>
          <t>N/A</t>
        </is>
      </c>
      <c r="P87" s="5" t="n">
        <v>6</v>
      </c>
      <c r="Q87" s="8">
        <f>IFERROR(G87/L87,0)</f>
        <v/>
      </c>
      <c r="R87" s="8" t="n">
        <v>8791</v>
      </c>
      <c r="S87" s="10">
        <f>IFERROR(R87/G87,0)</f>
        <v/>
      </c>
    </row>
    <row r="88">
      <c r="A88" s="7" t="n">
        <v>46259</v>
      </c>
      <c r="B88" s="5" t="inlineStr">
        <is>
          <t>Lumiere Skincare</t>
        </is>
      </c>
      <c r="C88" s="5" t="inlineStr">
        <is>
          <t>Beauty / Cosmetics</t>
        </is>
      </c>
      <c r="D88" s="5" t="inlineStr">
        <is>
          <t>B2C</t>
        </is>
      </c>
      <c r="E88" s="5" t="inlineStr">
        <is>
          <t>Facebook</t>
        </is>
      </c>
      <c r="F88" s="5" t="inlineStr">
        <is>
          <t>lumiereskincare.example.com</t>
        </is>
      </c>
      <c r="G88" s="8" t="n">
        <v>3485</v>
      </c>
      <c r="H88" s="8" t="n">
        <v>15289</v>
      </c>
      <c r="I88" s="8" t="n">
        <v>245</v>
      </c>
      <c r="J88" s="9">
        <f>I88/H88</f>
        <v/>
      </c>
      <c r="K88" s="8" t="n">
        <v>223</v>
      </c>
      <c r="L88" s="8" t="n">
        <v>5</v>
      </c>
      <c r="M88" s="5" t="inlineStr">
        <is>
          <t>N/A</t>
        </is>
      </c>
      <c r="N88" s="5" t="inlineStr">
        <is>
          <t>N/A</t>
        </is>
      </c>
      <c r="O88" s="8" t="inlineStr">
        <is>
          <t>N/A</t>
        </is>
      </c>
      <c r="P88" s="5" t="n">
        <v>5</v>
      </c>
      <c r="Q88" s="8">
        <f>IFERROR(G88/L88,0)</f>
        <v/>
      </c>
      <c r="R88" s="8" t="n">
        <v>7449</v>
      </c>
      <c r="S88" s="10">
        <f>IFERROR(R88/G88,0)</f>
        <v/>
      </c>
    </row>
    <row r="89">
      <c r="A89" s="7" t="n">
        <v>46260</v>
      </c>
      <c r="B89" s="5" t="inlineStr">
        <is>
          <t>Lumiere Skincare</t>
        </is>
      </c>
      <c r="C89" s="5" t="inlineStr">
        <is>
          <t>Beauty / Cosmetics</t>
        </is>
      </c>
      <c r="D89" s="5" t="inlineStr">
        <is>
          <t>B2C</t>
        </is>
      </c>
      <c r="E89" s="5" t="inlineStr">
        <is>
          <t>Facebook</t>
        </is>
      </c>
      <c r="F89" s="5" t="inlineStr">
        <is>
          <t>lumiereskincare.example.com</t>
        </is>
      </c>
      <c r="G89" s="8" t="n">
        <v>3627</v>
      </c>
      <c r="H89" s="8" t="n">
        <v>13936</v>
      </c>
      <c r="I89" s="8" t="n">
        <v>223</v>
      </c>
      <c r="J89" s="9">
        <f>I89/H89</f>
        <v/>
      </c>
      <c r="K89" s="8" t="n">
        <v>212</v>
      </c>
      <c r="L89" s="8" t="n">
        <v>5</v>
      </c>
      <c r="M89" s="5" t="inlineStr">
        <is>
          <t>N/A</t>
        </is>
      </c>
      <c r="N89" s="5" t="inlineStr">
        <is>
          <t>N/A</t>
        </is>
      </c>
      <c r="O89" s="8" t="inlineStr">
        <is>
          <t>N/A</t>
        </is>
      </c>
      <c r="P89" s="5" t="n">
        <v>5</v>
      </c>
      <c r="Q89" s="8">
        <f>IFERROR(G89/L89,0)</f>
        <v/>
      </c>
      <c r="R89" s="8" t="n">
        <v>6790</v>
      </c>
      <c r="S89" s="10">
        <f>IFERROR(R89/G89,0)</f>
        <v/>
      </c>
    </row>
    <row r="90">
      <c r="A90" s="7" t="n">
        <v>46261</v>
      </c>
      <c r="B90" s="5" t="inlineStr">
        <is>
          <t>Lumiere Skincare</t>
        </is>
      </c>
      <c r="C90" s="5" t="inlineStr">
        <is>
          <t>Beauty / Cosmetics</t>
        </is>
      </c>
      <c r="D90" s="5" t="inlineStr">
        <is>
          <t>B2C</t>
        </is>
      </c>
      <c r="E90" s="5" t="inlineStr">
        <is>
          <t>Facebook</t>
        </is>
      </c>
      <c r="F90" s="5" t="inlineStr">
        <is>
          <t>lumiereskincare.example.com</t>
        </is>
      </c>
      <c r="G90" s="8" t="n">
        <v>3930</v>
      </c>
      <c r="H90" s="8" t="n">
        <v>19266</v>
      </c>
      <c r="I90" s="8" t="n">
        <v>308</v>
      </c>
      <c r="J90" s="9">
        <f>I90/H90</f>
        <v/>
      </c>
      <c r="K90" s="8" t="n">
        <v>288</v>
      </c>
      <c r="L90" s="8" t="n">
        <v>6</v>
      </c>
      <c r="M90" s="5" t="inlineStr">
        <is>
          <t>N/A</t>
        </is>
      </c>
      <c r="N90" s="5" t="inlineStr">
        <is>
          <t>N/A</t>
        </is>
      </c>
      <c r="O90" s="8" t="inlineStr">
        <is>
          <t>N/A</t>
        </is>
      </c>
      <c r="P90" s="5" t="n">
        <v>6</v>
      </c>
      <c r="Q90" s="8">
        <f>IFERROR(G90/L90,0)</f>
        <v/>
      </c>
      <c r="R90" s="8" t="n">
        <v>9386</v>
      </c>
      <c r="S90" s="10">
        <f>IFERROR(R90/G90,0)</f>
        <v/>
      </c>
    </row>
    <row r="91">
      <c r="A91" s="7" t="n">
        <v>46262</v>
      </c>
      <c r="B91" s="5" t="inlineStr">
        <is>
          <t>Lumiere Skincare</t>
        </is>
      </c>
      <c r="C91" s="5" t="inlineStr">
        <is>
          <t>Beauty / Cosmetics</t>
        </is>
      </c>
      <c r="D91" s="5" t="inlineStr">
        <is>
          <t>B2C</t>
        </is>
      </c>
      <c r="E91" s="5" t="inlineStr">
        <is>
          <t>Facebook</t>
        </is>
      </c>
      <c r="F91" s="5" t="inlineStr">
        <is>
          <t>lumiereskincare.example.com</t>
        </is>
      </c>
      <c r="G91" s="8" t="n">
        <v>3196</v>
      </c>
      <c r="H91" s="8" t="n">
        <v>18591</v>
      </c>
      <c r="I91" s="8" t="n">
        <v>297</v>
      </c>
      <c r="J91" s="9">
        <f>I91/H91</f>
        <v/>
      </c>
      <c r="K91" s="8" t="n">
        <v>275</v>
      </c>
      <c r="L91" s="8" t="n">
        <v>6</v>
      </c>
      <c r="M91" s="5" t="inlineStr">
        <is>
          <t>N/A</t>
        </is>
      </c>
      <c r="N91" s="5" t="inlineStr">
        <is>
          <t>N/A</t>
        </is>
      </c>
      <c r="O91" s="8" t="inlineStr">
        <is>
          <t>N/A</t>
        </is>
      </c>
      <c r="P91" s="5" t="n">
        <v>6</v>
      </c>
      <c r="Q91" s="8">
        <f>IFERROR(G91/L91,0)</f>
        <v/>
      </c>
      <c r="R91" s="8" t="n">
        <v>9058</v>
      </c>
      <c r="S91" s="10">
        <f>IFERROR(R91/G91,0)</f>
        <v/>
      </c>
    </row>
    <row r="92">
      <c r="A92" s="7" t="n">
        <v>46263</v>
      </c>
      <c r="B92" s="5" t="inlineStr">
        <is>
          <t>Lumiere Skincare</t>
        </is>
      </c>
      <c r="C92" s="5" t="inlineStr">
        <is>
          <t>Beauty / Cosmetics</t>
        </is>
      </c>
      <c r="D92" s="5" t="inlineStr">
        <is>
          <t>B2C</t>
        </is>
      </c>
      <c r="E92" s="5" t="inlineStr">
        <is>
          <t>Facebook</t>
        </is>
      </c>
      <c r="F92" s="5" t="inlineStr">
        <is>
          <t>lumiereskincare.example.com</t>
        </is>
      </c>
      <c r="G92" s="8" t="n">
        <v>3285</v>
      </c>
      <c r="H92" s="8" t="n">
        <v>16929</v>
      </c>
      <c r="I92" s="8" t="n">
        <v>271</v>
      </c>
      <c r="J92" s="9">
        <f>I92/H92</f>
        <v/>
      </c>
      <c r="K92" s="8" t="n">
        <v>235</v>
      </c>
      <c r="L92" s="8" t="n">
        <v>6</v>
      </c>
      <c r="M92" s="5" t="inlineStr">
        <is>
          <t>N/A</t>
        </is>
      </c>
      <c r="N92" s="5" t="inlineStr">
        <is>
          <t>N/A</t>
        </is>
      </c>
      <c r="O92" s="8" t="inlineStr">
        <is>
          <t>N/A</t>
        </is>
      </c>
      <c r="P92" s="5" t="n">
        <v>6</v>
      </c>
      <c r="Q92" s="8">
        <f>IFERROR(G92/L92,0)</f>
        <v/>
      </c>
      <c r="R92" s="8" t="n">
        <v>8248</v>
      </c>
      <c r="S92" s="10">
        <f>IFERROR(R92/G92,0)</f>
        <v/>
      </c>
    </row>
    <row r="93">
      <c r="A93" s="7" t="n">
        <v>46264</v>
      </c>
      <c r="B93" s="5" t="inlineStr">
        <is>
          <t>Lumiere Skincare</t>
        </is>
      </c>
      <c r="C93" s="5" t="inlineStr">
        <is>
          <t>Beauty / Cosmetics</t>
        </is>
      </c>
      <c r="D93" s="5" t="inlineStr">
        <is>
          <t>B2C</t>
        </is>
      </c>
      <c r="E93" s="5" t="inlineStr">
        <is>
          <t>Facebook</t>
        </is>
      </c>
      <c r="F93" s="5" t="inlineStr">
        <is>
          <t>lumiereskincare.example.com</t>
        </is>
      </c>
      <c r="G93" s="8" t="n">
        <v>3196</v>
      </c>
      <c r="H93" s="8" t="n">
        <v>17463</v>
      </c>
      <c r="I93" s="8" t="n">
        <v>279</v>
      </c>
      <c r="J93" s="9">
        <f>I93/H93</f>
        <v/>
      </c>
      <c r="K93" s="8" t="n">
        <v>272</v>
      </c>
      <c r="L93" s="8" t="n">
        <v>6</v>
      </c>
      <c r="M93" s="5" t="inlineStr">
        <is>
          <t>N/A</t>
        </is>
      </c>
      <c r="N93" s="5" t="inlineStr">
        <is>
          <t>N/A</t>
        </is>
      </c>
      <c r="O93" s="8" t="inlineStr">
        <is>
          <t>N/A</t>
        </is>
      </c>
      <c r="P93" s="5" t="n">
        <v>6</v>
      </c>
      <c r="Q93" s="8">
        <f>IFERROR(G93/L93,0)</f>
        <v/>
      </c>
      <c r="R93" s="8" t="n">
        <v>8508</v>
      </c>
      <c r="S93" s="10">
        <f>IFERROR(R93/G93,0)</f>
        <v/>
      </c>
    </row>
    <row r="94">
      <c r="A94" s="7" t="n">
        <v>46265</v>
      </c>
      <c r="B94" s="5" t="inlineStr">
        <is>
          <t>Lumiere Skincare</t>
        </is>
      </c>
      <c r="C94" s="5" t="inlineStr">
        <is>
          <t>Beauty / Cosmetics</t>
        </is>
      </c>
      <c r="D94" s="5" t="inlineStr">
        <is>
          <t>B2C</t>
        </is>
      </c>
      <c r="E94" s="5" t="inlineStr">
        <is>
          <t>Facebook</t>
        </is>
      </c>
      <c r="F94" s="5" t="inlineStr">
        <is>
          <t>lumiereskincare.example.com</t>
        </is>
      </c>
      <c r="G94" s="8" t="n">
        <v>3400</v>
      </c>
      <c r="H94" s="8" t="n">
        <v>20515</v>
      </c>
      <c r="I94" s="8" t="n">
        <v>328</v>
      </c>
      <c r="J94" s="9">
        <f>I94/H94</f>
        <v/>
      </c>
      <c r="K94" s="8" t="n">
        <v>292</v>
      </c>
      <c r="L94" s="8" t="n">
        <v>7</v>
      </c>
      <c r="M94" s="5" t="inlineStr">
        <is>
          <t>N/A</t>
        </is>
      </c>
      <c r="N94" s="5" t="inlineStr">
        <is>
          <t>N/A</t>
        </is>
      </c>
      <c r="O94" s="8" t="inlineStr">
        <is>
          <t>N/A</t>
        </is>
      </c>
      <c r="P94" s="5" t="n">
        <v>7</v>
      </c>
      <c r="Q94" s="8">
        <f>IFERROR(G94/L94,0)</f>
        <v/>
      </c>
      <c r="R94" s="8" t="n">
        <v>9995</v>
      </c>
      <c r="S94" s="10">
        <f>IFERROR(R94/G94,0)</f>
        <v/>
      </c>
    </row>
    <row r="95">
      <c r="A95" s="7" t="n">
        <v>46235</v>
      </c>
      <c r="B95" s="5" t="inlineStr">
        <is>
          <t>Lumiere Skincare</t>
        </is>
      </c>
      <c r="C95" s="5" t="inlineStr">
        <is>
          <t>Beauty / Cosmetics</t>
        </is>
      </c>
      <c r="D95" s="5" t="inlineStr">
        <is>
          <t>B2C</t>
        </is>
      </c>
      <c r="E95" s="5" t="inlineStr">
        <is>
          <t>Pinterest</t>
        </is>
      </c>
      <c r="F95" s="5" t="inlineStr">
        <is>
          <t>lumiereskincare.example.com</t>
        </is>
      </c>
      <c r="G95" s="8" t="n">
        <v>2780</v>
      </c>
      <c r="H95" s="8" t="n">
        <v>22303</v>
      </c>
      <c r="I95" s="8" t="n">
        <v>312</v>
      </c>
      <c r="J95" s="9">
        <f>I95/H95</f>
        <v/>
      </c>
      <c r="K95" s="8" t="n">
        <v>297</v>
      </c>
      <c r="L95" s="8" t="n">
        <v>8</v>
      </c>
      <c r="M95" s="5" t="inlineStr">
        <is>
          <t>N/A</t>
        </is>
      </c>
      <c r="N95" s="5" t="inlineStr">
        <is>
          <t>N/A</t>
        </is>
      </c>
      <c r="O95" s="8" t="inlineStr">
        <is>
          <t>N/A</t>
        </is>
      </c>
      <c r="P95" s="5" t="n">
        <v>8</v>
      </c>
      <c r="Q95" s="8">
        <f>IFERROR(G95/L95,0)</f>
        <v/>
      </c>
      <c r="R95" s="8" t="n">
        <v>12224</v>
      </c>
      <c r="S95" s="10">
        <f>IFERROR(R95/G95,0)</f>
        <v/>
      </c>
    </row>
    <row r="96">
      <c r="A96" s="7" t="n">
        <v>46236</v>
      </c>
      <c r="B96" s="5" t="inlineStr">
        <is>
          <t>Lumiere Skincare</t>
        </is>
      </c>
      <c r="C96" s="5" t="inlineStr">
        <is>
          <t>Beauty / Cosmetics</t>
        </is>
      </c>
      <c r="D96" s="5" t="inlineStr">
        <is>
          <t>B2C</t>
        </is>
      </c>
      <c r="E96" s="5" t="inlineStr">
        <is>
          <t>Pinterest</t>
        </is>
      </c>
      <c r="F96" s="5" t="inlineStr">
        <is>
          <t>lumiereskincare.example.com</t>
        </is>
      </c>
      <c r="G96" s="8" t="n">
        <v>3332</v>
      </c>
      <c r="H96" s="8" t="n">
        <v>20457</v>
      </c>
      <c r="I96" s="8" t="n">
        <v>286</v>
      </c>
      <c r="J96" s="9">
        <f>I96/H96</f>
        <v/>
      </c>
      <c r="K96" s="8" t="n">
        <v>255</v>
      </c>
      <c r="L96" s="8" t="n">
        <v>8</v>
      </c>
      <c r="M96" s="5" t="inlineStr">
        <is>
          <t>N/A</t>
        </is>
      </c>
      <c r="N96" s="5" t="inlineStr">
        <is>
          <t>N/A</t>
        </is>
      </c>
      <c r="O96" s="8" t="inlineStr">
        <is>
          <t>N/A</t>
        </is>
      </c>
      <c r="P96" s="5" t="n">
        <v>8</v>
      </c>
      <c r="Q96" s="8">
        <f>IFERROR(G96/L96,0)</f>
        <v/>
      </c>
      <c r="R96" s="8" t="n">
        <v>11213</v>
      </c>
      <c r="S96" s="10">
        <f>IFERROR(R96/G96,0)</f>
        <v/>
      </c>
    </row>
    <row r="97">
      <c r="A97" s="7" t="n">
        <v>46237</v>
      </c>
      <c r="B97" s="5" t="inlineStr">
        <is>
          <t>Lumiere Skincare</t>
        </is>
      </c>
      <c r="C97" s="5" t="inlineStr">
        <is>
          <t>Beauty / Cosmetics</t>
        </is>
      </c>
      <c r="D97" s="5" t="inlineStr">
        <is>
          <t>B2C</t>
        </is>
      </c>
      <c r="E97" s="5" t="inlineStr">
        <is>
          <t>Pinterest</t>
        </is>
      </c>
      <c r="F97" s="5" t="inlineStr">
        <is>
          <t>lumiereskincare.example.com</t>
        </is>
      </c>
      <c r="G97" s="8" t="n">
        <v>3028</v>
      </c>
      <c r="H97" s="8" t="n">
        <v>21563</v>
      </c>
      <c r="I97" s="8" t="n">
        <v>302</v>
      </c>
      <c r="J97" s="9">
        <f>I97/H97</f>
        <v/>
      </c>
      <c r="K97" s="8" t="n">
        <v>284</v>
      </c>
      <c r="L97" s="8" t="n">
        <v>8</v>
      </c>
      <c r="M97" s="5" t="inlineStr">
        <is>
          <t>N/A</t>
        </is>
      </c>
      <c r="N97" s="5" t="inlineStr">
        <is>
          <t>N/A</t>
        </is>
      </c>
      <c r="O97" s="8" t="inlineStr">
        <is>
          <t>N/A</t>
        </is>
      </c>
      <c r="P97" s="5" t="n">
        <v>8</v>
      </c>
      <c r="Q97" s="8">
        <f>IFERROR(G97/L97,0)</f>
        <v/>
      </c>
      <c r="R97" s="8" t="n">
        <v>11818</v>
      </c>
      <c r="S97" s="10">
        <f>IFERROR(R97/G97,0)</f>
        <v/>
      </c>
    </row>
    <row r="98">
      <c r="A98" s="7" t="n">
        <v>46238</v>
      </c>
      <c r="B98" s="5" t="inlineStr">
        <is>
          <t>Lumiere Skincare</t>
        </is>
      </c>
      <c r="C98" s="5" t="inlineStr">
        <is>
          <t>Beauty / Cosmetics</t>
        </is>
      </c>
      <c r="D98" s="5" t="inlineStr">
        <is>
          <t>B2C</t>
        </is>
      </c>
      <c r="E98" s="5" t="inlineStr">
        <is>
          <t>Pinterest</t>
        </is>
      </c>
      <c r="F98" s="5" t="inlineStr">
        <is>
          <t>lumiereskincare.example.com</t>
        </is>
      </c>
      <c r="G98" s="8" t="n">
        <v>3342</v>
      </c>
      <c r="H98" s="8" t="n">
        <v>31191</v>
      </c>
      <c r="I98" s="8" t="n">
        <v>437</v>
      </c>
      <c r="J98" s="9">
        <f>I98/H98</f>
        <v/>
      </c>
      <c r="K98" s="8" t="n">
        <v>411</v>
      </c>
      <c r="L98" s="8" t="n">
        <v>12</v>
      </c>
      <c r="M98" s="5" t="inlineStr">
        <is>
          <t>N/A</t>
        </is>
      </c>
      <c r="N98" s="5" t="inlineStr">
        <is>
          <t>N/A</t>
        </is>
      </c>
      <c r="O98" s="8" t="inlineStr">
        <is>
          <t>N/A</t>
        </is>
      </c>
      <c r="P98" s="5" t="n">
        <v>12</v>
      </c>
      <c r="Q98" s="8">
        <f>IFERROR(G98/L98,0)</f>
        <v/>
      </c>
      <c r="R98" s="8" t="n">
        <v>17096</v>
      </c>
      <c r="S98" s="10">
        <f>IFERROR(R98/G98,0)</f>
        <v/>
      </c>
    </row>
    <row r="99">
      <c r="A99" s="7" t="n">
        <v>46239</v>
      </c>
      <c r="B99" s="5" t="inlineStr">
        <is>
          <t>Lumiere Skincare</t>
        </is>
      </c>
      <c r="C99" s="5" t="inlineStr">
        <is>
          <t>Beauty / Cosmetics</t>
        </is>
      </c>
      <c r="D99" s="5" t="inlineStr">
        <is>
          <t>B2C</t>
        </is>
      </c>
      <c r="E99" s="5" t="inlineStr">
        <is>
          <t>Pinterest</t>
        </is>
      </c>
      <c r="F99" s="5" t="inlineStr">
        <is>
          <t>lumiereskincare.example.com</t>
        </is>
      </c>
      <c r="G99" s="8" t="n">
        <v>3183</v>
      </c>
      <c r="H99" s="8" t="n">
        <v>23256</v>
      </c>
      <c r="I99" s="8" t="n">
        <v>326</v>
      </c>
      <c r="J99" s="9">
        <f>I99/H99</f>
        <v/>
      </c>
      <c r="K99" s="8" t="n">
        <v>293</v>
      </c>
      <c r="L99" s="8" t="n">
        <v>9</v>
      </c>
      <c r="M99" s="5" t="inlineStr">
        <is>
          <t>N/A</t>
        </is>
      </c>
      <c r="N99" s="5" t="inlineStr">
        <is>
          <t>N/A</t>
        </is>
      </c>
      <c r="O99" s="8" t="inlineStr">
        <is>
          <t>N/A</t>
        </is>
      </c>
      <c r="P99" s="5" t="n">
        <v>9</v>
      </c>
      <c r="Q99" s="8">
        <f>IFERROR(G99/L99,0)</f>
        <v/>
      </c>
      <c r="R99" s="8" t="n">
        <v>12747</v>
      </c>
      <c r="S99" s="10">
        <f>IFERROR(R99/G99,0)</f>
        <v/>
      </c>
    </row>
    <row r="100">
      <c r="A100" s="7" t="n">
        <v>46240</v>
      </c>
      <c r="B100" s="5" t="inlineStr">
        <is>
          <t>Lumiere Skincare</t>
        </is>
      </c>
      <c r="C100" s="5" t="inlineStr">
        <is>
          <t>Beauty / Cosmetics</t>
        </is>
      </c>
      <c r="D100" s="5" t="inlineStr">
        <is>
          <t>B2C</t>
        </is>
      </c>
      <c r="E100" s="5" t="inlineStr">
        <is>
          <t>Pinterest</t>
        </is>
      </c>
      <c r="F100" s="5" t="inlineStr">
        <is>
          <t>lumiereskincare.example.com</t>
        </is>
      </c>
      <c r="G100" s="8" t="n">
        <v>3072</v>
      </c>
      <c r="H100" s="8" t="n">
        <v>25614</v>
      </c>
      <c r="I100" s="8" t="n">
        <v>359</v>
      </c>
      <c r="J100" s="9">
        <f>I100/H100</f>
        <v/>
      </c>
      <c r="K100" s="8" t="n">
        <v>335</v>
      </c>
      <c r="L100" s="8" t="n">
        <v>10</v>
      </c>
      <c r="M100" s="5" t="inlineStr">
        <is>
          <t>N/A</t>
        </is>
      </c>
      <c r="N100" s="5" t="inlineStr">
        <is>
          <t>N/A</t>
        </is>
      </c>
      <c r="O100" s="8" t="inlineStr">
        <is>
          <t>N/A</t>
        </is>
      </c>
      <c r="P100" s="5" t="n">
        <v>10</v>
      </c>
      <c r="Q100" s="8">
        <f>IFERROR(G100/L100,0)</f>
        <v/>
      </c>
      <c r="R100" s="8" t="n">
        <v>14039</v>
      </c>
      <c r="S100" s="10">
        <f>IFERROR(R100/G100,0)</f>
        <v/>
      </c>
    </row>
    <row r="101">
      <c r="A101" s="7" t="n">
        <v>46241</v>
      </c>
      <c r="B101" s="5" t="inlineStr">
        <is>
          <t>Lumiere Skincare</t>
        </is>
      </c>
      <c r="C101" s="5" t="inlineStr">
        <is>
          <t>Beauty / Cosmetics</t>
        </is>
      </c>
      <c r="D101" s="5" t="inlineStr">
        <is>
          <t>B2C</t>
        </is>
      </c>
      <c r="E101" s="5" t="inlineStr">
        <is>
          <t>Pinterest</t>
        </is>
      </c>
      <c r="F101" s="5" t="inlineStr">
        <is>
          <t>lumiereskincare.example.com</t>
        </is>
      </c>
      <c r="G101" s="8" t="n">
        <v>3176</v>
      </c>
      <c r="H101" s="8" t="n">
        <v>22845</v>
      </c>
      <c r="I101" s="8" t="n">
        <v>320</v>
      </c>
      <c r="J101" s="9">
        <f>I101/H101</f>
        <v/>
      </c>
      <c r="K101" s="8" t="n">
        <v>272</v>
      </c>
      <c r="L101" s="8" t="n">
        <v>9</v>
      </c>
      <c r="M101" s="5" t="inlineStr">
        <is>
          <t>N/A</t>
        </is>
      </c>
      <c r="N101" s="5" t="inlineStr">
        <is>
          <t>N/A</t>
        </is>
      </c>
      <c r="O101" s="8" t="inlineStr">
        <is>
          <t>N/A</t>
        </is>
      </c>
      <c r="P101" s="5" t="n">
        <v>9</v>
      </c>
      <c r="Q101" s="8">
        <f>IFERROR(G101/L101,0)</f>
        <v/>
      </c>
      <c r="R101" s="8" t="n">
        <v>12521</v>
      </c>
      <c r="S101" s="10">
        <f>IFERROR(R101/G101,0)</f>
        <v/>
      </c>
    </row>
    <row r="102">
      <c r="A102" s="7" t="n">
        <v>46242</v>
      </c>
      <c r="B102" s="5" t="inlineStr">
        <is>
          <t>Lumiere Skincare</t>
        </is>
      </c>
      <c r="C102" s="5" t="inlineStr">
        <is>
          <t>Beauty / Cosmetics</t>
        </is>
      </c>
      <c r="D102" s="5" t="inlineStr">
        <is>
          <t>B2C</t>
        </is>
      </c>
      <c r="E102" s="5" t="inlineStr">
        <is>
          <t>Pinterest</t>
        </is>
      </c>
      <c r="F102" s="5" t="inlineStr">
        <is>
          <t>lumiereskincare.example.com</t>
        </is>
      </c>
      <c r="G102" s="8" t="n">
        <v>3523</v>
      </c>
      <c r="H102" s="8" t="n">
        <v>26818</v>
      </c>
      <c r="I102" s="8" t="n">
        <v>375</v>
      </c>
      <c r="J102" s="9">
        <f>I102/H102</f>
        <v/>
      </c>
      <c r="K102" s="8" t="n">
        <v>329</v>
      </c>
      <c r="L102" s="8" t="n">
        <v>10</v>
      </c>
      <c r="M102" s="5" t="inlineStr">
        <is>
          <t>N/A</t>
        </is>
      </c>
      <c r="N102" s="5" t="inlineStr">
        <is>
          <t>N/A</t>
        </is>
      </c>
      <c r="O102" s="8" t="inlineStr">
        <is>
          <t>N/A</t>
        </is>
      </c>
      <c r="P102" s="5" t="n">
        <v>10</v>
      </c>
      <c r="Q102" s="8">
        <f>IFERROR(G102/L102,0)</f>
        <v/>
      </c>
      <c r="R102" s="8" t="n">
        <v>14699</v>
      </c>
      <c r="S102" s="10">
        <f>IFERROR(R102/G102,0)</f>
        <v/>
      </c>
    </row>
    <row r="103">
      <c r="A103" s="7" t="n">
        <v>46243</v>
      </c>
      <c r="B103" s="5" t="inlineStr">
        <is>
          <t>Lumiere Skincare</t>
        </is>
      </c>
      <c r="C103" s="5" t="inlineStr">
        <is>
          <t>Beauty / Cosmetics</t>
        </is>
      </c>
      <c r="D103" s="5" t="inlineStr">
        <is>
          <t>B2C</t>
        </is>
      </c>
      <c r="E103" s="5" t="inlineStr">
        <is>
          <t>Pinterest</t>
        </is>
      </c>
      <c r="F103" s="5" t="inlineStr">
        <is>
          <t>lumiereskincare.example.com</t>
        </is>
      </c>
      <c r="G103" s="8" t="n">
        <v>3551</v>
      </c>
      <c r="H103" s="8" t="n">
        <v>25093</v>
      </c>
      <c r="I103" s="8" t="n">
        <v>351</v>
      </c>
      <c r="J103" s="9">
        <f>I103/H103</f>
        <v/>
      </c>
      <c r="K103" s="8" t="n">
        <v>323</v>
      </c>
      <c r="L103" s="8" t="n">
        <v>9</v>
      </c>
      <c r="M103" s="5" t="inlineStr">
        <is>
          <t>N/A</t>
        </is>
      </c>
      <c r="N103" s="5" t="inlineStr">
        <is>
          <t>N/A</t>
        </is>
      </c>
      <c r="O103" s="8" t="inlineStr">
        <is>
          <t>N/A</t>
        </is>
      </c>
      <c r="P103" s="5" t="n">
        <v>9</v>
      </c>
      <c r="Q103" s="8">
        <f>IFERROR(G103/L103,0)</f>
        <v/>
      </c>
      <c r="R103" s="8" t="n">
        <v>13753</v>
      </c>
      <c r="S103" s="10">
        <f>IFERROR(R103/G103,0)</f>
        <v/>
      </c>
    </row>
    <row r="104">
      <c r="A104" s="7" t="n">
        <v>46244</v>
      </c>
      <c r="B104" s="5" t="inlineStr">
        <is>
          <t>Lumiere Skincare</t>
        </is>
      </c>
      <c r="C104" s="5" t="inlineStr">
        <is>
          <t>Beauty / Cosmetics</t>
        </is>
      </c>
      <c r="D104" s="5" t="inlineStr">
        <is>
          <t>B2C</t>
        </is>
      </c>
      <c r="E104" s="5" t="inlineStr">
        <is>
          <t>Pinterest</t>
        </is>
      </c>
      <c r="F104" s="5" t="inlineStr">
        <is>
          <t>lumiereskincare.example.com</t>
        </is>
      </c>
      <c r="G104" s="8" t="n">
        <v>3115</v>
      </c>
      <c r="H104" s="8" t="n">
        <v>21712</v>
      </c>
      <c r="I104" s="8" t="n">
        <v>304</v>
      </c>
      <c r="J104" s="9">
        <f>I104/H104</f>
        <v/>
      </c>
      <c r="K104" s="8" t="n">
        <v>265</v>
      </c>
      <c r="L104" s="8" t="n">
        <v>8</v>
      </c>
      <c r="M104" s="5" t="inlineStr">
        <is>
          <t>N/A</t>
        </is>
      </c>
      <c r="N104" s="5" t="inlineStr">
        <is>
          <t>N/A</t>
        </is>
      </c>
      <c r="O104" s="8" t="inlineStr">
        <is>
          <t>N/A</t>
        </is>
      </c>
      <c r="P104" s="5" t="n">
        <v>8</v>
      </c>
      <c r="Q104" s="8">
        <f>IFERROR(G104/L104,0)</f>
        <v/>
      </c>
      <c r="R104" s="8" t="n">
        <v>11900</v>
      </c>
      <c r="S104" s="10">
        <f>IFERROR(R104/G104,0)</f>
        <v/>
      </c>
    </row>
    <row r="105">
      <c r="A105" s="7" t="n">
        <v>46245</v>
      </c>
      <c r="B105" s="5" t="inlineStr">
        <is>
          <t>Lumiere Skincare</t>
        </is>
      </c>
      <c r="C105" s="5" t="inlineStr">
        <is>
          <t>Beauty / Cosmetics</t>
        </is>
      </c>
      <c r="D105" s="5" t="inlineStr">
        <is>
          <t>B2C</t>
        </is>
      </c>
      <c r="E105" s="5" t="inlineStr">
        <is>
          <t>Pinterest</t>
        </is>
      </c>
      <c r="F105" s="5" t="inlineStr">
        <is>
          <t>lumiereskincare.example.com</t>
        </is>
      </c>
      <c r="G105" s="8" t="n">
        <v>3135</v>
      </c>
      <c r="H105" s="8" t="n">
        <v>20219</v>
      </c>
      <c r="I105" s="8" t="n">
        <v>283</v>
      </c>
      <c r="J105" s="9">
        <f>I105/H105</f>
        <v/>
      </c>
      <c r="K105" s="8" t="n">
        <v>247</v>
      </c>
      <c r="L105" s="8" t="n">
        <v>8</v>
      </c>
      <c r="M105" s="5" t="inlineStr">
        <is>
          <t>N/A</t>
        </is>
      </c>
      <c r="N105" s="5" t="inlineStr">
        <is>
          <t>N/A</t>
        </is>
      </c>
      <c r="O105" s="8" t="inlineStr">
        <is>
          <t>N/A</t>
        </is>
      </c>
      <c r="P105" s="5" t="n">
        <v>8</v>
      </c>
      <c r="Q105" s="8">
        <f>IFERROR(G105/L105,0)</f>
        <v/>
      </c>
      <c r="R105" s="8" t="n">
        <v>11082</v>
      </c>
      <c r="S105" s="10">
        <f>IFERROR(R105/G105,0)</f>
        <v/>
      </c>
    </row>
    <row r="106">
      <c r="A106" s="7" t="n">
        <v>46246</v>
      </c>
      <c r="B106" s="5" t="inlineStr">
        <is>
          <t>Lumiere Skincare</t>
        </is>
      </c>
      <c r="C106" s="5" t="inlineStr">
        <is>
          <t>Beauty / Cosmetics</t>
        </is>
      </c>
      <c r="D106" s="5" t="inlineStr">
        <is>
          <t>B2C</t>
        </is>
      </c>
      <c r="E106" s="5" t="inlineStr">
        <is>
          <t>Pinterest</t>
        </is>
      </c>
      <c r="F106" s="5" t="inlineStr">
        <is>
          <t>lumiereskincare.example.com</t>
        </is>
      </c>
      <c r="G106" s="8" t="n">
        <v>3334</v>
      </c>
      <c r="H106" s="8" t="n">
        <v>24945</v>
      </c>
      <c r="I106" s="8" t="n">
        <v>349</v>
      </c>
      <c r="J106" s="9">
        <f>I106/H106</f>
        <v/>
      </c>
      <c r="K106" s="8" t="n">
        <v>335</v>
      </c>
      <c r="L106" s="8" t="n">
        <v>9</v>
      </c>
      <c r="M106" s="5" t="inlineStr">
        <is>
          <t>N/A</t>
        </is>
      </c>
      <c r="N106" s="5" t="inlineStr">
        <is>
          <t>N/A</t>
        </is>
      </c>
      <c r="O106" s="8" t="inlineStr">
        <is>
          <t>N/A</t>
        </is>
      </c>
      <c r="P106" s="5" t="n">
        <v>9</v>
      </c>
      <c r="Q106" s="8">
        <f>IFERROR(G106/L106,0)</f>
        <v/>
      </c>
      <c r="R106" s="8" t="n">
        <v>13672</v>
      </c>
      <c r="S106" s="10">
        <f>IFERROR(R106/G106,0)</f>
        <v/>
      </c>
    </row>
    <row r="107">
      <c r="A107" s="7" t="n">
        <v>46247</v>
      </c>
      <c r="B107" s="5" t="inlineStr">
        <is>
          <t>Lumiere Skincare</t>
        </is>
      </c>
      <c r="C107" s="5" t="inlineStr">
        <is>
          <t>Beauty / Cosmetics</t>
        </is>
      </c>
      <c r="D107" s="5" t="inlineStr">
        <is>
          <t>B2C</t>
        </is>
      </c>
      <c r="E107" s="5" t="inlineStr">
        <is>
          <t>Pinterest</t>
        </is>
      </c>
      <c r="F107" s="5" t="inlineStr">
        <is>
          <t>lumiereskincare.example.com</t>
        </is>
      </c>
      <c r="G107" s="8" t="n">
        <v>2916</v>
      </c>
      <c r="H107" s="8" t="n">
        <v>18632</v>
      </c>
      <c r="I107" s="8" t="n">
        <v>261</v>
      </c>
      <c r="J107" s="9">
        <f>I107/H107</f>
        <v/>
      </c>
      <c r="K107" s="8" t="n">
        <v>255</v>
      </c>
      <c r="L107" s="8" t="n">
        <v>7</v>
      </c>
      <c r="M107" s="5" t="inlineStr">
        <is>
          <t>N/A</t>
        </is>
      </c>
      <c r="N107" s="5" t="inlineStr">
        <is>
          <t>N/A</t>
        </is>
      </c>
      <c r="O107" s="8" t="inlineStr">
        <is>
          <t>N/A</t>
        </is>
      </c>
      <c r="P107" s="5" t="n">
        <v>7</v>
      </c>
      <c r="Q107" s="8">
        <f>IFERROR(G107/L107,0)</f>
        <v/>
      </c>
      <c r="R107" s="8" t="n">
        <v>10212</v>
      </c>
      <c r="S107" s="10">
        <f>IFERROR(R107/G107,0)</f>
        <v/>
      </c>
    </row>
    <row r="108">
      <c r="A108" s="7" t="n">
        <v>46248</v>
      </c>
      <c r="B108" s="5" t="inlineStr">
        <is>
          <t>Lumiere Skincare</t>
        </is>
      </c>
      <c r="C108" s="5" t="inlineStr">
        <is>
          <t>Beauty / Cosmetics</t>
        </is>
      </c>
      <c r="D108" s="5" t="inlineStr">
        <is>
          <t>B2C</t>
        </is>
      </c>
      <c r="E108" s="5" t="inlineStr">
        <is>
          <t>Pinterest</t>
        </is>
      </c>
      <c r="F108" s="5" t="inlineStr">
        <is>
          <t>lumiereskincare.example.com</t>
        </is>
      </c>
      <c r="G108" s="8" t="n">
        <v>3172</v>
      </c>
      <c r="H108" s="8" t="n">
        <v>24375</v>
      </c>
      <c r="I108" s="8" t="n">
        <v>341</v>
      </c>
      <c r="J108" s="9">
        <f>I108/H108</f>
        <v/>
      </c>
      <c r="K108" s="8" t="n">
        <v>315</v>
      </c>
      <c r="L108" s="8" t="n">
        <v>9</v>
      </c>
      <c r="M108" s="5" t="inlineStr">
        <is>
          <t>N/A</t>
        </is>
      </c>
      <c r="N108" s="5" t="inlineStr">
        <is>
          <t>N/A</t>
        </is>
      </c>
      <c r="O108" s="8" t="inlineStr">
        <is>
          <t>N/A</t>
        </is>
      </c>
      <c r="P108" s="5" t="n">
        <v>9</v>
      </c>
      <c r="Q108" s="8">
        <f>IFERROR(G108/L108,0)</f>
        <v/>
      </c>
      <c r="R108" s="8" t="n">
        <v>13360</v>
      </c>
      <c r="S108" s="10">
        <f>IFERROR(R108/G108,0)</f>
        <v/>
      </c>
    </row>
    <row r="109">
      <c r="A109" s="7" t="n">
        <v>46249</v>
      </c>
      <c r="B109" s="5" t="inlineStr">
        <is>
          <t>Lumiere Skincare</t>
        </is>
      </c>
      <c r="C109" s="5" t="inlineStr">
        <is>
          <t>Beauty / Cosmetics</t>
        </is>
      </c>
      <c r="D109" s="5" t="inlineStr">
        <is>
          <t>B2C</t>
        </is>
      </c>
      <c r="E109" s="5" t="inlineStr">
        <is>
          <t>Pinterest</t>
        </is>
      </c>
      <c r="F109" s="5" t="inlineStr">
        <is>
          <t>lumiereskincare.example.com</t>
        </is>
      </c>
      <c r="G109" s="8" t="n">
        <v>3094</v>
      </c>
      <c r="H109" s="8" t="n">
        <v>24886</v>
      </c>
      <c r="I109" s="8" t="n">
        <v>348</v>
      </c>
      <c r="J109" s="9">
        <f>I109/H109</f>
        <v/>
      </c>
      <c r="K109" s="8" t="n">
        <v>334</v>
      </c>
      <c r="L109" s="8" t="n">
        <v>9</v>
      </c>
      <c r="M109" s="5" t="inlineStr">
        <is>
          <t>N/A</t>
        </is>
      </c>
      <c r="N109" s="5" t="inlineStr">
        <is>
          <t>N/A</t>
        </is>
      </c>
      <c r="O109" s="8" t="inlineStr">
        <is>
          <t>N/A</t>
        </is>
      </c>
      <c r="P109" s="5" t="n">
        <v>9</v>
      </c>
      <c r="Q109" s="8">
        <f>IFERROR(G109/L109,0)</f>
        <v/>
      </c>
      <c r="R109" s="8" t="n">
        <v>13640</v>
      </c>
      <c r="S109" s="10">
        <f>IFERROR(R109/G109,0)</f>
        <v/>
      </c>
    </row>
    <row r="110">
      <c r="A110" s="7" t="n">
        <v>46250</v>
      </c>
      <c r="B110" s="5" t="inlineStr">
        <is>
          <t>Lumiere Skincare</t>
        </is>
      </c>
      <c r="C110" s="5" t="inlineStr">
        <is>
          <t>Beauty / Cosmetics</t>
        </is>
      </c>
      <c r="D110" s="5" t="inlineStr">
        <is>
          <t>B2C</t>
        </is>
      </c>
      <c r="E110" s="5" t="inlineStr">
        <is>
          <t>Pinterest</t>
        </is>
      </c>
      <c r="F110" s="5" t="inlineStr">
        <is>
          <t>lumiereskincare.example.com</t>
        </is>
      </c>
      <c r="G110" s="8" t="n">
        <v>3168</v>
      </c>
      <c r="H110" s="8" t="n">
        <v>23534</v>
      </c>
      <c r="I110" s="8" t="n">
        <v>329</v>
      </c>
      <c r="J110" s="9">
        <f>I110/H110</f>
        <v/>
      </c>
      <c r="K110" s="8" t="n">
        <v>322</v>
      </c>
      <c r="L110" s="8" t="n">
        <v>9</v>
      </c>
      <c r="M110" s="5" t="inlineStr">
        <is>
          <t>N/A</t>
        </is>
      </c>
      <c r="N110" s="5" t="inlineStr">
        <is>
          <t>N/A</t>
        </is>
      </c>
      <c r="O110" s="8" t="inlineStr">
        <is>
          <t>N/A</t>
        </is>
      </c>
      <c r="P110" s="5" t="n">
        <v>9</v>
      </c>
      <c r="Q110" s="8">
        <f>IFERROR(G110/L110,0)</f>
        <v/>
      </c>
      <c r="R110" s="8" t="n">
        <v>12899</v>
      </c>
      <c r="S110" s="10">
        <f>IFERROR(R110/G110,0)</f>
        <v/>
      </c>
    </row>
    <row r="111">
      <c r="A111" s="7" t="n">
        <v>46251</v>
      </c>
      <c r="B111" s="5" t="inlineStr">
        <is>
          <t>Lumiere Skincare</t>
        </is>
      </c>
      <c r="C111" s="5" t="inlineStr">
        <is>
          <t>Beauty / Cosmetics</t>
        </is>
      </c>
      <c r="D111" s="5" t="inlineStr">
        <is>
          <t>B2C</t>
        </is>
      </c>
      <c r="E111" s="5" t="inlineStr">
        <is>
          <t>Pinterest</t>
        </is>
      </c>
      <c r="F111" s="5" t="inlineStr">
        <is>
          <t>lumiereskincare.example.com</t>
        </is>
      </c>
      <c r="G111" s="8" t="n">
        <v>2919</v>
      </c>
      <c r="H111" s="8" t="n">
        <v>20058</v>
      </c>
      <c r="I111" s="8" t="n">
        <v>281</v>
      </c>
      <c r="J111" s="9">
        <f>I111/H111</f>
        <v/>
      </c>
      <c r="K111" s="8" t="n">
        <v>244</v>
      </c>
      <c r="L111" s="8" t="n">
        <v>8</v>
      </c>
      <c r="M111" s="5" t="inlineStr">
        <is>
          <t>N/A</t>
        </is>
      </c>
      <c r="N111" s="5" t="inlineStr">
        <is>
          <t>N/A</t>
        </is>
      </c>
      <c r="O111" s="8" t="inlineStr">
        <is>
          <t>N/A</t>
        </is>
      </c>
      <c r="P111" s="5" t="n">
        <v>8</v>
      </c>
      <c r="Q111" s="8">
        <f>IFERROR(G111/L111,0)</f>
        <v/>
      </c>
      <c r="R111" s="8" t="n">
        <v>10994</v>
      </c>
      <c r="S111" s="10">
        <f>IFERROR(R111/G111,0)</f>
        <v/>
      </c>
    </row>
    <row r="112">
      <c r="A112" s="7" t="n">
        <v>46252</v>
      </c>
      <c r="B112" s="5" t="inlineStr">
        <is>
          <t>Lumiere Skincare</t>
        </is>
      </c>
      <c r="C112" s="5" t="inlineStr">
        <is>
          <t>Beauty / Cosmetics</t>
        </is>
      </c>
      <c r="D112" s="5" t="inlineStr">
        <is>
          <t>B2C</t>
        </is>
      </c>
      <c r="E112" s="5" t="inlineStr">
        <is>
          <t>Pinterest</t>
        </is>
      </c>
      <c r="F112" s="5" t="inlineStr">
        <is>
          <t>lumiereskincare.example.com</t>
        </is>
      </c>
      <c r="G112" s="8" t="n">
        <v>2755</v>
      </c>
      <c r="H112" s="8" t="n">
        <v>20672</v>
      </c>
      <c r="I112" s="8" t="n">
        <v>289</v>
      </c>
      <c r="J112" s="9">
        <f>I112/H112</f>
        <v/>
      </c>
      <c r="K112" s="8" t="n">
        <v>263</v>
      </c>
      <c r="L112" s="8" t="n">
        <v>8</v>
      </c>
      <c r="M112" s="5" t="inlineStr">
        <is>
          <t>N/A</t>
        </is>
      </c>
      <c r="N112" s="5" t="inlineStr">
        <is>
          <t>N/A</t>
        </is>
      </c>
      <c r="O112" s="8" t="inlineStr">
        <is>
          <t>N/A</t>
        </is>
      </c>
      <c r="P112" s="5" t="n">
        <v>8</v>
      </c>
      <c r="Q112" s="8">
        <f>IFERROR(G112/L112,0)</f>
        <v/>
      </c>
      <c r="R112" s="8" t="n">
        <v>11330</v>
      </c>
      <c r="S112" s="10">
        <f>IFERROR(R112/G112,0)</f>
        <v/>
      </c>
    </row>
    <row r="113">
      <c r="A113" s="7" t="n">
        <v>46253</v>
      </c>
      <c r="B113" s="5" t="inlineStr">
        <is>
          <t>Lumiere Skincare</t>
        </is>
      </c>
      <c r="C113" s="5" t="inlineStr">
        <is>
          <t>Beauty / Cosmetics</t>
        </is>
      </c>
      <c r="D113" s="5" t="inlineStr">
        <is>
          <t>B2C</t>
        </is>
      </c>
      <c r="E113" s="5" t="inlineStr">
        <is>
          <t>Pinterest</t>
        </is>
      </c>
      <c r="F113" s="5" t="inlineStr">
        <is>
          <t>lumiereskincare.example.com</t>
        </is>
      </c>
      <c r="G113" s="8" t="n">
        <v>2650</v>
      </c>
      <c r="H113" s="8" t="n">
        <v>18159</v>
      </c>
      <c r="I113" s="8" t="n">
        <v>254</v>
      </c>
      <c r="J113" s="9">
        <f>I113/H113</f>
        <v/>
      </c>
      <c r="K113" s="8" t="n">
        <v>229</v>
      </c>
      <c r="L113" s="8" t="n">
        <v>7</v>
      </c>
      <c r="M113" s="5" t="inlineStr">
        <is>
          <t>N/A</t>
        </is>
      </c>
      <c r="N113" s="5" t="inlineStr">
        <is>
          <t>N/A</t>
        </is>
      </c>
      <c r="O113" s="8" t="inlineStr">
        <is>
          <t>N/A</t>
        </is>
      </c>
      <c r="P113" s="5" t="n">
        <v>7</v>
      </c>
      <c r="Q113" s="8">
        <f>IFERROR(G113/L113,0)</f>
        <v/>
      </c>
      <c r="R113" s="8" t="n">
        <v>9953</v>
      </c>
      <c r="S113" s="10">
        <f>IFERROR(R113/G113,0)</f>
        <v/>
      </c>
    </row>
    <row r="114">
      <c r="A114" s="7" t="n">
        <v>46254</v>
      </c>
      <c r="B114" s="5" t="inlineStr">
        <is>
          <t>Lumiere Skincare</t>
        </is>
      </c>
      <c r="C114" s="5" t="inlineStr">
        <is>
          <t>Beauty / Cosmetics</t>
        </is>
      </c>
      <c r="D114" s="5" t="inlineStr">
        <is>
          <t>B2C</t>
        </is>
      </c>
      <c r="E114" s="5" t="inlineStr">
        <is>
          <t>Pinterest</t>
        </is>
      </c>
      <c r="F114" s="5" t="inlineStr">
        <is>
          <t>lumiereskincare.example.com</t>
        </is>
      </c>
      <c r="G114" s="8" t="n">
        <v>2858</v>
      </c>
      <c r="H114" s="8" t="n">
        <v>22615</v>
      </c>
      <c r="I114" s="8" t="n">
        <v>317</v>
      </c>
      <c r="J114" s="9">
        <f>I114/H114</f>
        <v/>
      </c>
      <c r="K114" s="8" t="n">
        <v>272</v>
      </c>
      <c r="L114" s="8" t="n">
        <v>9</v>
      </c>
      <c r="M114" s="5" t="inlineStr">
        <is>
          <t>N/A</t>
        </is>
      </c>
      <c r="N114" s="5" t="inlineStr">
        <is>
          <t>N/A</t>
        </is>
      </c>
      <c r="O114" s="8" t="inlineStr">
        <is>
          <t>N/A</t>
        </is>
      </c>
      <c r="P114" s="5" t="n">
        <v>9</v>
      </c>
      <c r="Q114" s="8">
        <f>IFERROR(G114/L114,0)</f>
        <v/>
      </c>
      <c r="R114" s="8" t="n">
        <v>12395</v>
      </c>
      <c r="S114" s="10">
        <f>IFERROR(R114/G114,0)</f>
        <v/>
      </c>
    </row>
    <row r="115">
      <c r="A115" s="7" t="n">
        <v>46255</v>
      </c>
      <c r="B115" s="5" t="inlineStr">
        <is>
          <t>Lumiere Skincare</t>
        </is>
      </c>
      <c r="C115" s="5" t="inlineStr">
        <is>
          <t>Beauty / Cosmetics</t>
        </is>
      </c>
      <c r="D115" s="5" t="inlineStr">
        <is>
          <t>B2C</t>
        </is>
      </c>
      <c r="E115" s="5" t="inlineStr">
        <is>
          <t>Pinterest</t>
        </is>
      </c>
      <c r="F115" s="5" t="inlineStr">
        <is>
          <t>lumiereskincare.example.com</t>
        </is>
      </c>
      <c r="G115" s="8" t="n">
        <v>3000</v>
      </c>
      <c r="H115" s="8" t="n">
        <v>16658</v>
      </c>
      <c r="I115" s="8" t="n">
        <v>233</v>
      </c>
      <c r="J115" s="9">
        <f>I115/H115</f>
        <v/>
      </c>
      <c r="K115" s="8" t="n">
        <v>221</v>
      </c>
      <c r="L115" s="8" t="n">
        <v>6</v>
      </c>
      <c r="M115" s="5" t="inlineStr">
        <is>
          <t>N/A</t>
        </is>
      </c>
      <c r="N115" s="5" t="inlineStr">
        <is>
          <t>N/A</t>
        </is>
      </c>
      <c r="O115" s="8" t="inlineStr">
        <is>
          <t>N/A</t>
        </is>
      </c>
      <c r="P115" s="5" t="n">
        <v>6</v>
      </c>
      <c r="Q115" s="8">
        <f>IFERROR(G115/L115,0)</f>
        <v/>
      </c>
      <c r="R115" s="8" t="n">
        <v>9130</v>
      </c>
      <c r="S115" s="10">
        <f>IFERROR(R115/G115,0)</f>
        <v/>
      </c>
    </row>
    <row r="116">
      <c r="A116" s="7" t="n">
        <v>46256</v>
      </c>
      <c r="B116" s="5" t="inlineStr">
        <is>
          <t>Lumiere Skincare</t>
        </is>
      </c>
      <c r="C116" s="5" t="inlineStr">
        <is>
          <t>Beauty / Cosmetics</t>
        </is>
      </c>
      <c r="D116" s="5" t="inlineStr">
        <is>
          <t>B2C</t>
        </is>
      </c>
      <c r="E116" s="5" t="inlineStr">
        <is>
          <t>Pinterest</t>
        </is>
      </c>
      <c r="F116" s="5" t="inlineStr">
        <is>
          <t>lumiereskincare.example.com</t>
        </is>
      </c>
      <c r="G116" s="8" t="n">
        <v>3036</v>
      </c>
      <c r="H116" s="8" t="n">
        <v>20735</v>
      </c>
      <c r="I116" s="8" t="n">
        <v>290</v>
      </c>
      <c r="J116" s="9">
        <f>I116/H116</f>
        <v/>
      </c>
      <c r="K116" s="8" t="n">
        <v>263</v>
      </c>
      <c r="L116" s="8" t="n">
        <v>8</v>
      </c>
      <c r="M116" s="5" t="inlineStr">
        <is>
          <t>N/A</t>
        </is>
      </c>
      <c r="N116" s="5" t="inlineStr">
        <is>
          <t>N/A</t>
        </is>
      </c>
      <c r="O116" s="8" t="inlineStr">
        <is>
          <t>N/A</t>
        </is>
      </c>
      <c r="P116" s="5" t="n">
        <v>8</v>
      </c>
      <c r="Q116" s="8">
        <f>IFERROR(G116/L116,0)</f>
        <v/>
      </c>
      <c r="R116" s="8" t="n">
        <v>11365</v>
      </c>
      <c r="S116" s="10">
        <f>IFERROR(R116/G116,0)</f>
        <v/>
      </c>
    </row>
    <row r="117">
      <c r="A117" s="7" t="n">
        <v>46257</v>
      </c>
      <c r="B117" s="5" t="inlineStr">
        <is>
          <t>Lumiere Skincare</t>
        </is>
      </c>
      <c r="C117" s="5" t="inlineStr">
        <is>
          <t>Beauty / Cosmetics</t>
        </is>
      </c>
      <c r="D117" s="5" t="inlineStr">
        <is>
          <t>B2C</t>
        </is>
      </c>
      <c r="E117" s="5" t="inlineStr">
        <is>
          <t>Pinterest</t>
        </is>
      </c>
      <c r="F117" s="5" t="inlineStr">
        <is>
          <t>lumiereskincare.example.com</t>
        </is>
      </c>
      <c r="G117" s="8" t="n">
        <v>3520</v>
      </c>
      <c r="H117" s="8" t="n">
        <v>19065</v>
      </c>
      <c r="I117" s="8" t="n">
        <v>267</v>
      </c>
      <c r="J117" s="9">
        <f>I117/H117</f>
        <v/>
      </c>
      <c r="K117" s="8" t="n">
        <v>243</v>
      </c>
      <c r="L117" s="8" t="n">
        <v>7</v>
      </c>
      <c r="M117" s="5" t="inlineStr">
        <is>
          <t>N/A</t>
        </is>
      </c>
      <c r="N117" s="5" t="inlineStr">
        <is>
          <t>N/A</t>
        </is>
      </c>
      <c r="O117" s="8" t="inlineStr">
        <is>
          <t>N/A</t>
        </is>
      </c>
      <c r="P117" s="5" t="n">
        <v>7</v>
      </c>
      <c r="Q117" s="8">
        <f>IFERROR(G117/L117,0)</f>
        <v/>
      </c>
      <c r="R117" s="8" t="n">
        <v>10450</v>
      </c>
      <c r="S117" s="10">
        <f>IFERROR(R117/G117,0)</f>
        <v/>
      </c>
    </row>
    <row r="118">
      <c r="A118" s="7" t="n">
        <v>46258</v>
      </c>
      <c r="B118" s="5" t="inlineStr">
        <is>
          <t>Lumiere Skincare</t>
        </is>
      </c>
      <c r="C118" s="5" t="inlineStr">
        <is>
          <t>Beauty / Cosmetics</t>
        </is>
      </c>
      <c r="D118" s="5" t="inlineStr">
        <is>
          <t>B2C</t>
        </is>
      </c>
      <c r="E118" s="5" t="inlineStr">
        <is>
          <t>Pinterest</t>
        </is>
      </c>
      <c r="F118" s="5" t="inlineStr">
        <is>
          <t>lumiereskincare.example.com</t>
        </is>
      </c>
      <c r="G118" s="8" t="n">
        <v>3340</v>
      </c>
      <c r="H118" s="8" t="n">
        <v>19502</v>
      </c>
      <c r="I118" s="8" t="n">
        <v>273</v>
      </c>
      <c r="J118" s="9">
        <f>I118/H118</f>
        <v/>
      </c>
      <c r="K118" s="8" t="n">
        <v>237</v>
      </c>
      <c r="L118" s="8" t="n">
        <v>7</v>
      </c>
      <c r="M118" s="5" t="inlineStr">
        <is>
          <t>N/A</t>
        </is>
      </c>
      <c r="N118" s="5" t="inlineStr">
        <is>
          <t>N/A</t>
        </is>
      </c>
      <c r="O118" s="8" t="inlineStr">
        <is>
          <t>N/A</t>
        </is>
      </c>
      <c r="P118" s="5" t="n">
        <v>7</v>
      </c>
      <c r="Q118" s="8">
        <f>IFERROR(G118/L118,0)</f>
        <v/>
      </c>
      <c r="R118" s="8" t="n">
        <v>10689</v>
      </c>
      <c r="S118" s="10">
        <f>IFERROR(R118/G118,0)</f>
        <v/>
      </c>
    </row>
    <row r="119">
      <c r="A119" s="7" t="n">
        <v>46259</v>
      </c>
      <c r="B119" s="5" t="inlineStr">
        <is>
          <t>Lumiere Skincare</t>
        </is>
      </c>
      <c r="C119" s="5" t="inlineStr">
        <is>
          <t>Beauty / Cosmetics</t>
        </is>
      </c>
      <c r="D119" s="5" t="inlineStr">
        <is>
          <t>B2C</t>
        </is>
      </c>
      <c r="E119" s="5" t="inlineStr">
        <is>
          <t>Pinterest</t>
        </is>
      </c>
      <c r="F119" s="5" t="inlineStr">
        <is>
          <t>lumiereskincare.example.com</t>
        </is>
      </c>
      <c r="G119" s="8" t="n">
        <v>2891</v>
      </c>
      <c r="H119" s="8" t="n">
        <v>23939</v>
      </c>
      <c r="I119" s="8" t="n">
        <v>335</v>
      </c>
      <c r="J119" s="9">
        <f>I119/H119</f>
        <v/>
      </c>
      <c r="K119" s="8" t="n">
        <v>293</v>
      </c>
      <c r="L119" s="8" t="n">
        <v>9</v>
      </c>
      <c r="M119" s="5" t="inlineStr">
        <is>
          <t>N/A</t>
        </is>
      </c>
      <c r="N119" s="5" t="inlineStr">
        <is>
          <t>N/A</t>
        </is>
      </c>
      <c r="O119" s="8" t="inlineStr">
        <is>
          <t>N/A</t>
        </is>
      </c>
      <c r="P119" s="5" t="n">
        <v>9</v>
      </c>
      <c r="Q119" s="8">
        <f>IFERROR(G119/L119,0)</f>
        <v/>
      </c>
      <c r="R119" s="8" t="n">
        <v>13121</v>
      </c>
      <c r="S119" s="10">
        <f>IFERROR(R119/G119,0)</f>
        <v/>
      </c>
    </row>
    <row r="120">
      <c r="A120" s="7" t="n">
        <v>46260</v>
      </c>
      <c r="B120" s="5" t="inlineStr">
        <is>
          <t>Lumiere Skincare</t>
        </is>
      </c>
      <c r="C120" s="5" t="inlineStr">
        <is>
          <t>Beauty / Cosmetics</t>
        </is>
      </c>
      <c r="D120" s="5" t="inlineStr">
        <is>
          <t>B2C</t>
        </is>
      </c>
      <c r="E120" s="5" t="inlineStr">
        <is>
          <t>Pinterest</t>
        </is>
      </c>
      <c r="F120" s="5" t="inlineStr">
        <is>
          <t>lumiereskincare.example.com</t>
        </is>
      </c>
      <c r="G120" s="8" t="n">
        <v>3175</v>
      </c>
      <c r="H120" s="8" t="n">
        <v>25022</v>
      </c>
      <c r="I120" s="8" t="n">
        <v>350</v>
      </c>
      <c r="J120" s="9">
        <f>I120/H120</f>
        <v/>
      </c>
      <c r="K120" s="8" t="n">
        <v>339</v>
      </c>
      <c r="L120" s="8" t="n">
        <v>9</v>
      </c>
      <c r="M120" s="5" t="inlineStr">
        <is>
          <t>N/A</t>
        </is>
      </c>
      <c r="N120" s="5" t="inlineStr">
        <is>
          <t>N/A</t>
        </is>
      </c>
      <c r="O120" s="8" t="inlineStr">
        <is>
          <t>N/A</t>
        </is>
      </c>
      <c r="P120" s="5" t="n">
        <v>9</v>
      </c>
      <c r="Q120" s="8">
        <f>IFERROR(G120/L120,0)</f>
        <v/>
      </c>
      <c r="R120" s="8" t="n">
        <v>13715</v>
      </c>
      <c r="S120" s="10">
        <f>IFERROR(R120/G120,0)</f>
        <v/>
      </c>
    </row>
    <row r="121">
      <c r="A121" s="7" t="n">
        <v>46261</v>
      </c>
      <c r="B121" s="5" t="inlineStr">
        <is>
          <t>Lumiere Skincare</t>
        </is>
      </c>
      <c r="C121" s="5" t="inlineStr">
        <is>
          <t>Beauty / Cosmetics</t>
        </is>
      </c>
      <c r="D121" s="5" t="inlineStr">
        <is>
          <t>B2C</t>
        </is>
      </c>
      <c r="E121" s="5" t="inlineStr">
        <is>
          <t>Pinterest</t>
        </is>
      </c>
      <c r="F121" s="5" t="inlineStr">
        <is>
          <t>lumiereskincare.example.com</t>
        </is>
      </c>
      <c r="G121" s="8" t="n">
        <v>3012</v>
      </c>
      <c r="H121" s="8" t="n">
        <v>19579</v>
      </c>
      <c r="I121" s="8" t="n">
        <v>274</v>
      </c>
      <c r="J121" s="9">
        <f>I121/H121</f>
        <v/>
      </c>
      <c r="K121" s="8" t="n">
        <v>235</v>
      </c>
      <c r="L121" s="8" t="n">
        <v>7</v>
      </c>
      <c r="M121" s="5" t="inlineStr">
        <is>
          <t>N/A</t>
        </is>
      </c>
      <c r="N121" s="5" t="inlineStr">
        <is>
          <t>N/A</t>
        </is>
      </c>
      <c r="O121" s="8" t="inlineStr">
        <is>
          <t>N/A</t>
        </is>
      </c>
      <c r="P121" s="5" t="n">
        <v>7</v>
      </c>
      <c r="Q121" s="8">
        <f>IFERROR(G121/L121,0)</f>
        <v/>
      </c>
      <c r="R121" s="8" t="n">
        <v>10731</v>
      </c>
      <c r="S121" s="10">
        <f>IFERROR(R121/G121,0)</f>
        <v/>
      </c>
    </row>
    <row r="122">
      <c r="A122" s="7" t="n">
        <v>46262</v>
      </c>
      <c r="B122" s="5" t="inlineStr">
        <is>
          <t>Lumiere Skincare</t>
        </is>
      </c>
      <c r="C122" s="5" t="inlineStr">
        <is>
          <t>Beauty / Cosmetics</t>
        </is>
      </c>
      <c r="D122" s="5" t="inlineStr">
        <is>
          <t>B2C</t>
        </is>
      </c>
      <c r="E122" s="5" t="inlineStr">
        <is>
          <t>Pinterest</t>
        </is>
      </c>
      <c r="F122" s="5" t="inlineStr">
        <is>
          <t>lumiereskincare.example.com</t>
        </is>
      </c>
      <c r="G122" s="8" t="n">
        <v>3038</v>
      </c>
      <c r="H122" s="8" t="n">
        <v>17721</v>
      </c>
      <c r="I122" s="8" t="n">
        <v>248</v>
      </c>
      <c r="J122" s="9">
        <f>I122/H122</f>
        <v/>
      </c>
      <c r="K122" s="8" t="n">
        <v>218</v>
      </c>
      <c r="L122" s="8" t="n">
        <v>7</v>
      </c>
      <c r="M122" s="5" t="inlineStr">
        <is>
          <t>N/A</t>
        </is>
      </c>
      <c r="N122" s="5" t="inlineStr">
        <is>
          <t>N/A</t>
        </is>
      </c>
      <c r="O122" s="8" t="inlineStr">
        <is>
          <t>N/A</t>
        </is>
      </c>
      <c r="P122" s="5" t="n">
        <v>7</v>
      </c>
      <c r="Q122" s="8">
        <f>IFERROR(G122/L122,0)</f>
        <v/>
      </c>
      <c r="R122" s="8" t="n">
        <v>9713</v>
      </c>
      <c r="S122" s="10">
        <f>IFERROR(R122/G122,0)</f>
        <v/>
      </c>
    </row>
    <row r="123">
      <c r="A123" s="7" t="n">
        <v>46263</v>
      </c>
      <c r="B123" s="5" t="inlineStr">
        <is>
          <t>Lumiere Skincare</t>
        </is>
      </c>
      <c r="C123" s="5" t="inlineStr">
        <is>
          <t>Beauty / Cosmetics</t>
        </is>
      </c>
      <c r="D123" s="5" t="inlineStr">
        <is>
          <t>B2C</t>
        </is>
      </c>
      <c r="E123" s="5" t="inlineStr">
        <is>
          <t>Pinterest</t>
        </is>
      </c>
      <c r="F123" s="5" t="inlineStr">
        <is>
          <t>lumiereskincare.example.com</t>
        </is>
      </c>
      <c r="G123" s="8" t="n">
        <v>3140</v>
      </c>
      <c r="H123" s="8" t="n">
        <v>14395</v>
      </c>
      <c r="I123" s="8" t="n">
        <v>202</v>
      </c>
      <c r="J123" s="9">
        <f>I123/H123</f>
        <v/>
      </c>
      <c r="K123" s="8" t="n">
        <v>179</v>
      </c>
      <c r="L123" s="8" t="n">
        <v>5</v>
      </c>
      <c r="M123" s="5" t="inlineStr">
        <is>
          <t>N/A</t>
        </is>
      </c>
      <c r="N123" s="5" t="inlineStr">
        <is>
          <t>N/A</t>
        </is>
      </c>
      <c r="O123" s="8" t="inlineStr">
        <is>
          <t>N/A</t>
        </is>
      </c>
      <c r="P123" s="5" t="n">
        <v>5</v>
      </c>
      <c r="Q123" s="8">
        <f>IFERROR(G123/L123,0)</f>
        <v/>
      </c>
      <c r="R123" s="8" t="n">
        <v>7890</v>
      </c>
      <c r="S123" s="10">
        <f>IFERROR(R123/G123,0)</f>
        <v/>
      </c>
    </row>
    <row r="124">
      <c r="A124" s="7" t="n">
        <v>46264</v>
      </c>
      <c r="B124" s="5" t="inlineStr">
        <is>
          <t>Lumiere Skincare</t>
        </is>
      </c>
      <c r="C124" s="5" t="inlineStr">
        <is>
          <t>Beauty / Cosmetics</t>
        </is>
      </c>
      <c r="D124" s="5" t="inlineStr">
        <is>
          <t>B2C</t>
        </is>
      </c>
      <c r="E124" s="5" t="inlineStr">
        <is>
          <t>Pinterest</t>
        </is>
      </c>
      <c r="F124" s="5" t="inlineStr">
        <is>
          <t>lumiereskincare.example.com</t>
        </is>
      </c>
      <c r="G124" s="8" t="n">
        <v>3234</v>
      </c>
      <c r="H124" s="8" t="n">
        <v>21513</v>
      </c>
      <c r="I124" s="8" t="n">
        <v>301</v>
      </c>
      <c r="J124" s="9">
        <f>I124/H124</f>
        <v/>
      </c>
      <c r="K124" s="8" t="n">
        <v>275</v>
      </c>
      <c r="L124" s="8" t="n">
        <v>8</v>
      </c>
      <c r="M124" s="5" t="inlineStr">
        <is>
          <t>N/A</t>
        </is>
      </c>
      <c r="N124" s="5" t="inlineStr">
        <is>
          <t>N/A</t>
        </is>
      </c>
      <c r="O124" s="8" t="inlineStr">
        <is>
          <t>N/A</t>
        </is>
      </c>
      <c r="P124" s="5" t="n">
        <v>8</v>
      </c>
      <c r="Q124" s="8">
        <f>IFERROR(G124/L124,0)</f>
        <v/>
      </c>
      <c r="R124" s="8" t="n">
        <v>11791</v>
      </c>
      <c r="S124" s="10">
        <f>IFERROR(R124/G124,0)</f>
        <v/>
      </c>
    </row>
    <row r="125">
      <c r="A125" s="7" t="n">
        <v>46265</v>
      </c>
      <c r="B125" s="5" t="inlineStr">
        <is>
          <t>Lumiere Skincare</t>
        </is>
      </c>
      <c r="C125" s="5" t="inlineStr">
        <is>
          <t>Beauty / Cosmetics</t>
        </is>
      </c>
      <c r="D125" s="5" t="inlineStr">
        <is>
          <t>B2C</t>
        </is>
      </c>
      <c r="E125" s="5" t="inlineStr">
        <is>
          <t>Pinterest</t>
        </is>
      </c>
      <c r="F125" s="5" t="inlineStr">
        <is>
          <t>lumiereskincare.example.com</t>
        </is>
      </c>
      <c r="G125" s="8" t="n">
        <v>3026</v>
      </c>
      <c r="H125" s="8" t="n">
        <v>27789</v>
      </c>
      <c r="I125" s="8" t="n">
        <v>389</v>
      </c>
      <c r="J125" s="9">
        <f>I125/H125</f>
        <v/>
      </c>
      <c r="K125" s="8" t="n">
        <v>360</v>
      </c>
      <c r="L125" s="8" t="n">
        <v>11</v>
      </c>
      <c r="M125" s="5" t="inlineStr">
        <is>
          <t>N/A</t>
        </is>
      </c>
      <c r="N125" s="5" t="inlineStr">
        <is>
          <t>N/A</t>
        </is>
      </c>
      <c r="O125" s="8" t="inlineStr">
        <is>
          <t>N/A</t>
        </is>
      </c>
      <c r="P125" s="5" t="n">
        <v>11</v>
      </c>
      <c r="Q125" s="8">
        <f>IFERROR(G125/L125,0)</f>
        <v/>
      </c>
      <c r="R125" s="8" t="n">
        <v>15231</v>
      </c>
      <c r="S125" s="10">
        <f>IFERROR(R125/G125,0)</f>
        <v/>
      </c>
    </row>
    <row r="126">
      <c r="A126" s="7" t="n">
        <v>46235</v>
      </c>
      <c r="B126" s="5" t="inlineStr">
        <is>
          <t>Solara Fitband</t>
        </is>
      </c>
      <c r="C126" s="5" t="inlineStr">
        <is>
          <t>Consumer Electronics / Wearables</t>
        </is>
      </c>
      <c r="D126" s="5" t="inlineStr">
        <is>
          <t>B2C</t>
        </is>
      </c>
      <c r="E126" s="5" t="inlineStr">
        <is>
          <t>Google Ads</t>
        </is>
      </c>
      <c r="F126" s="5" t="inlineStr">
        <is>
          <t>solarafitband.example.com</t>
        </is>
      </c>
      <c r="G126" s="8" t="n">
        <v>4661</v>
      </c>
      <c r="H126" s="8" t="n">
        <v>4869</v>
      </c>
      <c r="I126" s="8" t="n">
        <v>117</v>
      </c>
      <c r="J126" s="9">
        <f>I126/H126</f>
        <v/>
      </c>
      <c r="K126" s="8" t="n">
        <v>106</v>
      </c>
      <c r="L126" s="8" t="n">
        <v>3</v>
      </c>
      <c r="M126" s="5" t="inlineStr">
        <is>
          <t>N/A</t>
        </is>
      </c>
      <c r="N126" s="5" t="inlineStr">
        <is>
          <t>N/A</t>
        </is>
      </c>
      <c r="O126" s="8" t="inlineStr">
        <is>
          <t>N/A</t>
        </is>
      </c>
      <c r="P126" s="5" t="n">
        <v>3</v>
      </c>
      <c r="Q126" s="8">
        <f>IFERROR(G126/L126,0)</f>
        <v/>
      </c>
      <c r="R126" s="8" t="n">
        <v>18113</v>
      </c>
      <c r="S126" s="10">
        <f>IFERROR(R126/G126,0)</f>
        <v/>
      </c>
    </row>
    <row r="127">
      <c r="A127" s="7" t="n">
        <v>46236</v>
      </c>
      <c r="B127" s="5" t="inlineStr">
        <is>
          <t>Solara Fitband</t>
        </is>
      </c>
      <c r="C127" s="5" t="inlineStr">
        <is>
          <t>Consumer Electronics / Wearables</t>
        </is>
      </c>
      <c r="D127" s="5" t="inlineStr">
        <is>
          <t>B2C</t>
        </is>
      </c>
      <c r="E127" s="5" t="inlineStr">
        <is>
          <t>Google Ads</t>
        </is>
      </c>
      <c r="F127" s="5" t="inlineStr">
        <is>
          <t>solarafitband.example.com</t>
        </is>
      </c>
      <c r="G127" s="8" t="n">
        <v>5292</v>
      </c>
      <c r="H127" s="8" t="n">
        <v>4466</v>
      </c>
      <c r="I127" s="8" t="n">
        <v>107</v>
      </c>
      <c r="J127" s="9">
        <f>I127/H127</f>
        <v/>
      </c>
      <c r="K127" s="8" t="n">
        <v>102</v>
      </c>
      <c r="L127" s="8" t="n">
        <v>3</v>
      </c>
      <c r="M127" s="5" t="inlineStr">
        <is>
          <t>N/A</t>
        </is>
      </c>
      <c r="N127" s="5" t="inlineStr">
        <is>
          <t>N/A</t>
        </is>
      </c>
      <c r="O127" s="8" t="inlineStr">
        <is>
          <t>N/A</t>
        </is>
      </c>
      <c r="P127" s="5" t="n">
        <v>3</v>
      </c>
      <c r="Q127" s="8">
        <f>IFERROR(G127/L127,0)</f>
        <v/>
      </c>
      <c r="R127" s="8" t="n">
        <v>16614</v>
      </c>
      <c r="S127" s="10">
        <f>IFERROR(R127/G127,0)</f>
        <v/>
      </c>
    </row>
    <row r="128">
      <c r="A128" s="7" t="n">
        <v>46237</v>
      </c>
      <c r="B128" s="5" t="inlineStr">
        <is>
          <t>Solara Fitband</t>
        </is>
      </c>
      <c r="C128" s="5" t="inlineStr">
        <is>
          <t>Consumer Electronics / Wearables</t>
        </is>
      </c>
      <c r="D128" s="5" t="inlineStr">
        <is>
          <t>B2C</t>
        </is>
      </c>
      <c r="E128" s="5" t="inlineStr">
        <is>
          <t>Google Ads</t>
        </is>
      </c>
      <c r="F128" s="5" t="inlineStr">
        <is>
          <t>solarafitband.example.com</t>
        </is>
      </c>
      <c r="G128" s="8" t="n">
        <v>4939</v>
      </c>
      <c r="H128" s="8" t="n">
        <v>5004</v>
      </c>
      <c r="I128" s="8" t="n">
        <v>120</v>
      </c>
      <c r="J128" s="9">
        <f>I128/H128</f>
        <v/>
      </c>
      <c r="K128" s="8" t="n">
        <v>103</v>
      </c>
      <c r="L128" s="8" t="n">
        <v>3</v>
      </c>
      <c r="M128" s="5" t="inlineStr">
        <is>
          <t>N/A</t>
        </is>
      </c>
      <c r="N128" s="5" t="inlineStr">
        <is>
          <t>N/A</t>
        </is>
      </c>
      <c r="O128" s="8" t="inlineStr">
        <is>
          <t>N/A</t>
        </is>
      </c>
      <c r="P128" s="5" t="n">
        <v>3</v>
      </c>
      <c r="Q128" s="8">
        <f>IFERROR(G128/L128,0)</f>
        <v/>
      </c>
      <c r="R128" s="8" t="n">
        <v>18615</v>
      </c>
      <c r="S128" s="10">
        <f>IFERROR(R128/G128,0)</f>
        <v/>
      </c>
    </row>
    <row r="129">
      <c r="A129" s="7" t="n">
        <v>46238</v>
      </c>
      <c r="B129" s="5" t="inlineStr">
        <is>
          <t>Solara Fitband</t>
        </is>
      </c>
      <c r="C129" s="5" t="inlineStr">
        <is>
          <t>Consumer Electronics / Wearables</t>
        </is>
      </c>
      <c r="D129" s="5" t="inlineStr">
        <is>
          <t>B2C</t>
        </is>
      </c>
      <c r="E129" s="5" t="inlineStr">
        <is>
          <t>Google Ads</t>
        </is>
      </c>
      <c r="F129" s="5" t="inlineStr">
        <is>
          <t>solarafitband.example.com</t>
        </is>
      </c>
      <c r="G129" s="8" t="n">
        <v>5276</v>
      </c>
      <c r="H129" s="8" t="n">
        <v>5559</v>
      </c>
      <c r="I129" s="8" t="n">
        <v>133</v>
      </c>
      <c r="J129" s="9">
        <f>I129/H129</f>
        <v/>
      </c>
      <c r="K129" s="8" t="n">
        <v>123</v>
      </c>
      <c r="L129" s="8" t="n">
        <v>3</v>
      </c>
      <c r="M129" s="5" t="inlineStr">
        <is>
          <t>N/A</t>
        </is>
      </c>
      <c r="N129" s="5" t="inlineStr">
        <is>
          <t>N/A</t>
        </is>
      </c>
      <c r="O129" s="8" t="inlineStr">
        <is>
          <t>N/A</t>
        </is>
      </c>
      <c r="P129" s="5" t="n">
        <v>3</v>
      </c>
      <c r="Q129" s="8">
        <f>IFERROR(G129/L129,0)</f>
        <v/>
      </c>
      <c r="R129" s="8" t="n">
        <v>20680</v>
      </c>
      <c r="S129" s="10">
        <f>IFERROR(R129/G129,0)</f>
        <v/>
      </c>
    </row>
    <row r="130">
      <c r="A130" s="7" t="n">
        <v>46239</v>
      </c>
      <c r="B130" s="5" t="inlineStr">
        <is>
          <t>Solara Fitband</t>
        </is>
      </c>
      <c r="C130" s="5" t="inlineStr">
        <is>
          <t>Consumer Electronics / Wearables</t>
        </is>
      </c>
      <c r="D130" s="5" t="inlineStr">
        <is>
          <t>B2C</t>
        </is>
      </c>
      <c r="E130" s="5" t="inlineStr">
        <is>
          <t>Google Ads</t>
        </is>
      </c>
      <c r="F130" s="5" t="inlineStr">
        <is>
          <t>solarafitband.example.com</t>
        </is>
      </c>
      <c r="G130" s="8" t="n">
        <v>5697</v>
      </c>
      <c r="H130" s="8" t="n">
        <v>5191</v>
      </c>
      <c r="I130" s="8" t="n">
        <v>125</v>
      </c>
      <c r="J130" s="9">
        <f>I130/H130</f>
        <v/>
      </c>
      <c r="K130" s="8" t="n">
        <v>119</v>
      </c>
      <c r="L130" s="8" t="n">
        <v>3</v>
      </c>
      <c r="M130" s="5" t="inlineStr">
        <is>
          <t>N/A</t>
        </is>
      </c>
      <c r="N130" s="5" t="inlineStr">
        <is>
          <t>N/A</t>
        </is>
      </c>
      <c r="O130" s="8" t="inlineStr">
        <is>
          <t>N/A</t>
        </is>
      </c>
      <c r="P130" s="5" t="n">
        <v>3</v>
      </c>
      <c r="Q130" s="8">
        <f>IFERROR(G130/L130,0)</f>
        <v/>
      </c>
      <c r="R130" s="8" t="n">
        <v>19312</v>
      </c>
      <c r="S130" s="10">
        <f>IFERROR(R130/G130,0)</f>
        <v/>
      </c>
    </row>
    <row r="131">
      <c r="A131" s="7" t="n">
        <v>46240</v>
      </c>
      <c r="B131" s="5" t="inlineStr">
        <is>
          <t>Solara Fitband</t>
        </is>
      </c>
      <c r="C131" s="5" t="inlineStr">
        <is>
          <t>Consumer Electronics / Wearables</t>
        </is>
      </c>
      <c r="D131" s="5" t="inlineStr">
        <is>
          <t>B2C</t>
        </is>
      </c>
      <c r="E131" s="5" t="inlineStr">
        <is>
          <t>Google Ads</t>
        </is>
      </c>
      <c r="F131" s="5" t="inlineStr">
        <is>
          <t>solarafitband.example.com</t>
        </is>
      </c>
      <c r="G131" s="8" t="n">
        <v>5530</v>
      </c>
      <c r="H131" s="8" t="n">
        <v>5777</v>
      </c>
      <c r="I131" s="8" t="n">
        <v>139</v>
      </c>
      <c r="J131" s="9">
        <f>I131/H131</f>
        <v/>
      </c>
      <c r="K131" s="8" t="n">
        <v>135</v>
      </c>
      <c r="L131" s="8" t="n">
        <v>3</v>
      </c>
      <c r="M131" s="5" t="inlineStr">
        <is>
          <t>N/A</t>
        </is>
      </c>
      <c r="N131" s="5" t="inlineStr">
        <is>
          <t>N/A</t>
        </is>
      </c>
      <c r="O131" s="8" t="inlineStr">
        <is>
          <t>N/A</t>
        </is>
      </c>
      <c r="P131" s="5" t="n">
        <v>3</v>
      </c>
      <c r="Q131" s="8">
        <f>IFERROR(G131/L131,0)</f>
        <v/>
      </c>
      <c r="R131" s="8" t="n">
        <v>21492</v>
      </c>
      <c r="S131" s="10">
        <f>IFERROR(R131/G131,0)</f>
        <v/>
      </c>
    </row>
    <row r="132">
      <c r="A132" s="7" t="n">
        <v>46241</v>
      </c>
      <c r="B132" s="5" t="inlineStr">
        <is>
          <t>Solara Fitband</t>
        </is>
      </c>
      <c r="C132" s="5" t="inlineStr">
        <is>
          <t>Consumer Electronics / Wearables</t>
        </is>
      </c>
      <c r="D132" s="5" t="inlineStr">
        <is>
          <t>B2C</t>
        </is>
      </c>
      <c r="E132" s="5" t="inlineStr">
        <is>
          <t>Google Ads</t>
        </is>
      </c>
      <c r="F132" s="5" t="inlineStr">
        <is>
          <t>solarafitband.example.com</t>
        </is>
      </c>
      <c r="G132" s="8" t="n">
        <v>5501</v>
      </c>
      <c r="H132" s="8" t="n">
        <v>4638</v>
      </c>
      <c r="I132" s="8" t="n">
        <v>111</v>
      </c>
      <c r="J132" s="9">
        <f>I132/H132</f>
        <v/>
      </c>
      <c r="K132" s="8" t="n">
        <v>107</v>
      </c>
      <c r="L132" s="8" t="n">
        <v>3</v>
      </c>
      <c r="M132" s="5" t="inlineStr">
        <is>
          <t>N/A</t>
        </is>
      </c>
      <c r="N132" s="5" t="inlineStr">
        <is>
          <t>N/A</t>
        </is>
      </c>
      <c r="O132" s="8" t="inlineStr">
        <is>
          <t>N/A</t>
        </is>
      </c>
      <c r="P132" s="5" t="n">
        <v>3</v>
      </c>
      <c r="Q132" s="8">
        <f>IFERROR(G132/L132,0)</f>
        <v/>
      </c>
      <c r="R132" s="8" t="n">
        <v>17253</v>
      </c>
      <c r="S132" s="10">
        <f>IFERROR(R132/G132,0)</f>
        <v/>
      </c>
    </row>
    <row r="133">
      <c r="A133" s="7" t="n">
        <v>46242</v>
      </c>
      <c r="B133" s="5" t="inlineStr">
        <is>
          <t>Solara Fitband</t>
        </is>
      </c>
      <c r="C133" s="5" t="inlineStr">
        <is>
          <t>Consumer Electronics / Wearables</t>
        </is>
      </c>
      <c r="D133" s="5" t="inlineStr">
        <is>
          <t>B2C</t>
        </is>
      </c>
      <c r="E133" s="5" t="inlineStr">
        <is>
          <t>Google Ads</t>
        </is>
      </c>
      <c r="F133" s="5" t="inlineStr">
        <is>
          <t>solarafitband.example.com</t>
        </is>
      </c>
      <c r="G133" s="8" t="n">
        <v>5538</v>
      </c>
      <c r="H133" s="8" t="n">
        <v>6564</v>
      </c>
      <c r="I133" s="8" t="n">
        <v>158</v>
      </c>
      <c r="J133" s="9">
        <f>I133/H133</f>
        <v/>
      </c>
      <c r="K133" s="8" t="n">
        <v>135</v>
      </c>
      <c r="L133" s="8" t="n">
        <v>4</v>
      </c>
      <c r="M133" s="5" t="inlineStr">
        <is>
          <t>N/A</t>
        </is>
      </c>
      <c r="N133" s="5" t="inlineStr">
        <is>
          <t>N/A</t>
        </is>
      </c>
      <c r="O133" s="8" t="inlineStr">
        <is>
          <t>N/A</t>
        </is>
      </c>
      <c r="P133" s="5" t="n">
        <v>4</v>
      </c>
      <c r="Q133" s="8">
        <f>IFERROR(G133/L133,0)</f>
        <v/>
      </c>
      <c r="R133" s="8" t="n">
        <v>24417</v>
      </c>
      <c r="S133" s="10">
        <f>IFERROR(R133/G133,0)</f>
        <v/>
      </c>
    </row>
    <row r="134">
      <c r="A134" s="7" t="n">
        <v>46243</v>
      </c>
      <c r="B134" s="5" t="inlineStr">
        <is>
          <t>Solara Fitband</t>
        </is>
      </c>
      <c r="C134" s="5" t="inlineStr">
        <is>
          <t>Consumer Electronics / Wearables</t>
        </is>
      </c>
      <c r="D134" s="5" t="inlineStr">
        <is>
          <t>B2C</t>
        </is>
      </c>
      <c r="E134" s="5" t="inlineStr">
        <is>
          <t>Google Ads</t>
        </is>
      </c>
      <c r="F134" s="5" t="inlineStr">
        <is>
          <t>solarafitband.example.com</t>
        </is>
      </c>
      <c r="G134" s="8" t="n">
        <v>5680</v>
      </c>
      <c r="H134" s="8" t="n">
        <v>6671</v>
      </c>
      <c r="I134" s="8" t="n">
        <v>160</v>
      </c>
      <c r="J134" s="9">
        <f>I134/H134</f>
        <v/>
      </c>
      <c r="K134" s="8" t="n">
        <v>144</v>
      </c>
      <c r="L134" s="8" t="n">
        <v>4</v>
      </c>
      <c r="M134" s="5" t="inlineStr">
        <is>
          <t>N/A</t>
        </is>
      </c>
      <c r="N134" s="5" t="inlineStr">
        <is>
          <t>N/A</t>
        </is>
      </c>
      <c r="O134" s="8" t="inlineStr">
        <is>
          <t>N/A</t>
        </is>
      </c>
      <c r="P134" s="5" t="n">
        <v>4</v>
      </c>
      <c r="Q134" s="8">
        <f>IFERROR(G134/L134,0)</f>
        <v/>
      </c>
      <c r="R134" s="8" t="n">
        <v>24815</v>
      </c>
      <c r="S134" s="10">
        <f>IFERROR(R134/G134,0)</f>
        <v/>
      </c>
    </row>
    <row r="135">
      <c r="A135" s="7" t="n">
        <v>46244</v>
      </c>
      <c r="B135" s="5" t="inlineStr">
        <is>
          <t>Solara Fitband</t>
        </is>
      </c>
      <c r="C135" s="5" t="inlineStr">
        <is>
          <t>Consumer Electronics / Wearables</t>
        </is>
      </c>
      <c r="D135" s="5" t="inlineStr">
        <is>
          <t>B2C</t>
        </is>
      </c>
      <c r="E135" s="5" t="inlineStr">
        <is>
          <t>Google Ads</t>
        </is>
      </c>
      <c r="F135" s="5" t="inlineStr">
        <is>
          <t>solarafitband.example.com</t>
        </is>
      </c>
      <c r="G135" s="8" t="n">
        <v>5205</v>
      </c>
      <c r="H135" s="8" t="n">
        <v>5155</v>
      </c>
      <c r="I135" s="8" t="n">
        <v>124</v>
      </c>
      <c r="J135" s="9">
        <f>I135/H135</f>
        <v/>
      </c>
      <c r="K135" s="8" t="n">
        <v>106</v>
      </c>
      <c r="L135" s="8" t="n">
        <v>3</v>
      </c>
      <c r="M135" s="5" t="inlineStr">
        <is>
          <t>N/A</t>
        </is>
      </c>
      <c r="N135" s="5" t="inlineStr">
        <is>
          <t>N/A</t>
        </is>
      </c>
      <c r="O135" s="8" t="inlineStr">
        <is>
          <t>N/A</t>
        </is>
      </c>
      <c r="P135" s="5" t="n">
        <v>3</v>
      </c>
      <c r="Q135" s="8">
        <f>IFERROR(G135/L135,0)</f>
        <v/>
      </c>
      <c r="R135" s="8" t="n">
        <v>19178</v>
      </c>
      <c r="S135" s="10">
        <f>IFERROR(R135/G135,0)</f>
        <v/>
      </c>
    </row>
    <row r="136">
      <c r="A136" s="7" t="n">
        <v>46245</v>
      </c>
      <c r="B136" s="5" t="inlineStr">
        <is>
          <t>Solara Fitband</t>
        </is>
      </c>
      <c r="C136" s="5" t="inlineStr">
        <is>
          <t>Consumer Electronics / Wearables</t>
        </is>
      </c>
      <c r="D136" s="5" t="inlineStr">
        <is>
          <t>B2C</t>
        </is>
      </c>
      <c r="E136" s="5" t="inlineStr">
        <is>
          <t>Google Ads</t>
        </is>
      </c>
      <c r="F136" s="5" t="inlineStr">
        <is>
          <t>solarafitband.example.com</t>
        </is>
      </c>
      <c r="G136" s="8" t="n">
        <v>5877</v>
      </c>
      <c r="H136" s="8" t="n">
        <v>6265</v>
      </c>
      <c r="I136" s="8" t="n">
        <v>150</v>
      </c>
      <c r="J136" s="9">
        <f>I136/H136</f>
        <v/>
      </c>
      <c r="K136" s="8" t="n">
        <v>130</v>
      </c>
      <c r="L136" s="8" t="n">
        <v>4</v>
      </c>
      <c r="M136" s="5" t="inlineStr">
        <is>
          <t>N/A</t>
        </is>
      </c>
      <c r="N136" s="5" t="inlineStr">
        <is>
          <t>N/A</t>
        </is>
      </c>
      <c r="O136" s="8" t="inlineStr">
        <is>
          <t>N/A</t>
        </is>
      </c>
      <c r="P136" s="5" t="n">
        <v>4</v>
      </c>
      <c r="Q136" s="8">
        <f>IFERROR(G136/L136,0)</f>
        <v/>
      </c>
      <c r="R136" s="8" t="n">
        <v>23307</v>
      </c>
      <c r="S136" s="10">
        <f>IFERROR(R136/G136,0)</f>
        <v/>
      </c>
    </row>
    <row r="137">
      <c r="A137" s="7" t="n">
        <v>46246</v>
      </c>
      <c r="B137" s="5" t="inlineStr">
        <is>
          <t>Solara Fitband</t>
        </is>
      </c>
      <c r="C137" s="5" t="inlineStr">
        <is>
          <t>Consumer Electronics / Wearables</t>
        </is>
      </c>
      <c r="D137" s="5" t="inlineStr">
        <is>
          <t>B2C</t>
        </is>
      </c>
      <c r="E137" s="5" t="inlineStr">
        <is>
          <t>Google Ads</t>
        </is>
      </c>
      <c r="F137" s="5" t="inlineStr">
        <is>
          <t>solarafitband.example.com</t>
        </is>
      </c>
      <c r="G137" s="8" t="n">
        <v>5860</v>
      </c>
      <c r="H137" s="8" t="n">
        <v>4255</v>
      </c>
      <c r="I137" s="8" t="n">
        <v>102</v>
      </c>
      <c r="J137" s="9">
        <f>I137/H137</f>
        <v/>
      </c>
      <c r="K137" s="8" t="n">
        <v>96</v>
      </c>
      <c r="L137" s="8" t="n">
        <v>3</v>
      </c>
      <c r="M137" s="5" t="inlineStr">
        <is>
          <t>N/A</t>
        </is>
      </c>
      <c r="N137" s="5" t="inlineStr">
        <is>
          <t>N/A</t>
        </is>
      </c>
      <c r="O137" s="8" t="inlineStr">
        <is>
          <t>N/A</t>
        </is>
      </c>
      <c r="P137" s="5" t="n">
        <v>3</v>
      </c>
      <c r="Q137" s="8">
        <f>IFERROR(G137/L137,0)</f>
        <v/>
      </c>
      <c r="R137" s="8" t="n">
        <v>15828</v>
      </c>
      <c r="S137" s="10">
        <f>IFERROR(R137/G137,0)</f>
        <v/>
      </c>
    </row>
    <row r="138">
      <c r="A138" s="7" t="n">
        <v>46247</v>
      </c>
      <c r="B138" s="5" t="inlineStr">
        <is>
          <t>Solara Fitband</t>
        </is>
      </c>
      <c r="C138" s="5" t="inlineStr">
        <is>
          <t>Consumer Electronics / Wearables</t>
        </is>
      </c>
      <c r="D138" s="5" t="inlineStr">
        <is>
          <t>B2C</t>
        </is>
      </c>
      <c r="E138" s="5" t="inlineStr">
        <is>
          <t>Google Ads</t>
        </is>
      </c>
      <c r="F138" s="5" t="inlineStr">
        <is>
          <t>solarafitband.example.com</t>
        </is>
      </c>
      <c r="G138" s="8" t="n">
        <v>5751</v>
      </c>
      <c r="H138" s="8" t="n">
        <v>5059</v>
      </c>
      <c r="I138" s="8" t="n">
        <v>121</v>
      </c>
      <c r="J138" s="9">
        <f>I138/H138</f>
        <v/>
      </c>
      <c r="K138" s="8" t="n">
        <v>114</v>
      </c>
      <c r="L138" s="8" t="n">
        <v>3</v>
      </c>
      <c r="M138" s="5" t="inlineStr">
        <is>
          <t>N/A</t>
        </is>
      </c>
      <c r="N138" s="5" t="inlineStr">
        <is>
          <t>N/A</t>
        </is>
      </c>
      <c r="O138" s="8" t="inlineStr">
        <is>
          <t>N/A</t>
        </is>
      </c>
      <c r="P138" s="5" t="n">
        <v>3</v>
      </c>
      <c r="Q138" s="8">
        <f>IFERROR(G138/L138,0)</f>
        <v/>
      </c>
      <c r="R138" s="8" t="n">
        <v>18821</v>
      </c>
      <c r="S138" s="10">
        <f>IFERROR(R138/G138,0)</f>
        <v/>
      </c>
    </row>
    <row r="139">
      <c r="A139" s="7" t="n">
        <v>46248</v>
      </c>
      <c r="B139" s="5" t="inlineStr">
        <is>
          <t>Solara Fitband</t>
        </is>
      </c>
      <c r="C139" s="5" t="inlineStr">
        <is>
          <t>Consumer Electronics / Wearables</t>
        </is>
      </c>
      <c r="D139" s="5" t="inlineStr">
        <is>
          <t>B2C</t>
        </is>
      </c>
      <c r="E139" s="5" t="inlineStr">
        <is>
          <t>Google Ads</t>
        </is>
      </c>
      <c r="F139" s="5" t="inlineStr">
        <is>
          <t>solarafitband.example.com</t>
        </is>
      </c>
      <c r="G139" s="8" t="n">
        <v>5818</v>
      </c>
      <c r="H139" s="8" t="n">
        <v>5734</v>
      </c>
      <c r="I139" s="8" t="n">
        <v>138</v>
      </c>
      <c r="J139" s="9">
        <f>I139/H139</f>
        <v/>
      </c>
      <c r="K139" s="8" t="n">
        <v>131</v>
      </c>
      <c r="L139" s="8" t="n">
        <v>3</v>
      </c>
      <c r="M139" s="5" t="inlineStr">
        <is>
          <t>N/A</t>
        </is>
      </c>
      <c r="N139" s="5" t="inlineStr">
        <is>
          <t>N/A</t>
        </is>
      </c>
      <c r="O139" s="8" t="inlineStr">
        <is>
          <t>N/A</t>
        </is>
      </c>
      <c r="P139" s="5" t="n">
        <v>3</v>
      </c>
      <c r="Q139" s="8">
        <f>IFERROR(G139/L139,0)</f>
        <v/>
      </c>
      <c r="R139" s="8" t="n">
        <v>21330</v>
      </c>
      <c r="S139" s="10">
        <f>IFERROR(R139/G139,0)</f>
        <v/>
      </c>
    </row>
    <row r="140">
      <c r="A140" s="7" t="n">
        <v>46249</v>
      </c>
      <c r="B140" s="5" t="inlineStr">
        <is>
          <t>Solara Fitband</t>
        </is>
      </c>
      <c r="C140" s="5" t="inlineStr">
        <is>
          <t>Consumer Electronics / Wearables</t>
        </is>
      </c>
      <c r="D140" s="5" t="inlineStr">
        <is>
          <t>B2C</t>
        </is>
      </c>
      <c r="E140" s="5" t="inlineStr">
        <is>
          <t>Google Ads</t>
        </is>
      </c>
      <c r="F140" s="5" t="inlineStr">
        <is>
          <t>solarafitband.example.com</t>
        </is>
      </c>
      <c r="G140" s="8" t="n">
        <v>5716</v>
      </c>
      <c r="H140" s="8" t="n">
        <v>5088</v>
      </c>
      <c r="I140" s="8" t="n">
        <v>122</v>
      </c>
      <c r="J140" s="9">
        <f>I140/H140</f>
        <v/>
      </c>
      <c r="K140" s="8" t="n">
        <v>118</v>
      </c>
      <c r="L140" s="8" t="n">
        <v>3</v>
      </c>
      <c r="M140" s="5" t="inlineStr">
        <is>
          <t>N/A</t>
        </is>
      </c>
      <c r="N140" s="5" t="inlineStr">
        <is>
          <t>N/A</t>
        </is>
      </c>
      <c r="O140" s="8" t="inlineStr">
        <is>
          <t>N/A</t>
        </is>
      </c>
      <c r="P140" s="5" t="n">
        <v>3</v>
      </c>
      <c r="Q140" s="8">
        <f>IFERROR(G140/L140,0)</f>
        <v/>
      </c>
      <c r="R140" s="8" t="n">
        <v>18927</v>
      </c>
      <c r="S140" s="10">
        <f>IFERROR(R140/G140,0)</f>
        <v/>
      </c>
    </row>
    <row r="141">
      <c r="A141" s="7" t="n">
        <v>46250</v>
      </c>
      <c r="B141" s="5" t="inlineStr">
        <is>
          <t>Solara Fitband</t>
        </is>
      </c>
      <c r="C141" s="5" t="inlineStr">
        <is>
          <t>Consumer Electronics / Wearables</t>
        </is>
      </c>
      <c r="D141" s="5" t="inlineStr">
        <is>
          <t>B2C</t>
        </is>
      </c>
      <c r="E141" s="5" t="inlineStr">
        <is>
          <t>Google Ads</t>
        </is>
      </c>
      <c r="F141" s="5" t="inlineStr">
        <is>
          <t>solarafitband.example.com</t>
        </is>
      </c>
      <c r="G141" s="8" t="n">
        <v>6398</v>
      </c>
      <c r="H141" s="8" t="n">
        <v>7096</v>
      </c>
      <c r="I141" s="8" t="n">
        <v>170</v>
      </c>
      <c r="J141" s="9">
        <f>I141/H141</f>
        <v/>
      </c>
      <c r="K141" s="8" t="n">
        <v>161</v>
      </c>
      <c r="L141" s="8" t="n">
        <v>4</v>
      </c>
      <c r="M141" s="5" t="inlineStr">
        <is>
          <t>N/A</t>
        </is>
      </c>
      <c r="N141" s="5" t="inlineStr">
        <is>
          <t>N/A</t>
        </is>
      </c>
      <c r="O141" s="8" t="inlineStr">
        <is>
          <t>N/A</t>
        </is>
      </c>
      <c r="P141" s="5" t="n">
        <v>4</v>
      </c>
      <c r="Q141" s="8">
        <f>IFERROR(G141/L141,0)</f>
        <v/>
      </c>
      <c r="R141" s="8" t="n">
        <v>26396</v>
      </c>
      <c r="S141" s="10">
        <f>IFERROR(R141/G141,0)</f>
        <v/>
      </c>
    </row>
    <row r="142">
      <c r="A142" s="7" t="n">
        <v>46251</v>
      </c>
      <c r="B142" s="5" t="inlineStr">
        <is>
          <t>Solara Fitband</t>
        </is>
      </c>
      <c r="C142" s="5" t="inlineStr">
        <is>
          <t>Consumer Electronics / Wearables</t>
        </is>
      </c>
      <c r="D142" s="5" t="inlineStr">
        <is>
          <t>B2C</t>
        </is>
      </c>
      <c r="E142" s="5" t="inlineStr">
        <is>
          <t>Google Ads</t>
        </is>
      </c>
      <c r="F142" s="5" t="inlineStr">
        <is>
          <t>solarafitband.example.com</t>
        </is>
      </c>
      <c r="G142" s="8" t="n">
        <v>5566</v>
      </c>
      <c r="H142" s="8" t="n">
        <v>7048</v>
      </c>
      <c r="I142" s="8" t="n">
        <v>169</v>
      </c>
      <c r="J142" s="9">
        <f>I142/H142</f>
        <v/>
      </c>
      <c r="K142" s="8" t="n">
        <v>161</v>
      </c>
      <c r="L142" s="8" t="n">
        <v>4</v>
      </c>
      <c r="M142" s="5" t="inlineStr">
        <is>
          <t>N/A</t>
        </is>
      </c>
      <c r="N142" s="5" t="inlineStr">
        <is>
          <t>N/A</t>
        </is>
      </c>
      <c r="O142" s="8" t="inlineStr">
        <is>
          <t>N/A</t>
        </is>
      </c>
      <c r="P142" s="5" t="n">
        <v>4</v>
      </c>
      <c r="Q142" s="8">
        <f>IFERROR(G142/L142,0)</f>
        <v/>
      </c>
      <c r="R142" s="8" t="n">
        <v>26219</v>
      </c>
      <c r="S142" s="10">
        <f>IFERROR(R142/G142,0)</f>
        <v/>
      </c>
    </row>
    <row r="143">
      <c r="A143" s="7" t="n">
        <v>46252</v>
      </c>
      <c r="B143" s="5" t="inlineStr">
        <is>
          <t>Solara Fitband</t>
        </is>
      </c>
      <c r="C143" s="5" t="inlineStr">
        <is>
          <t>Consumer Electronics / Wearables</t>
        </is>
      </c>
      <c r="D143" s="5" t="inlineStr">
        <is>
          <t>B2C</t>
        </is>
      </c>
      <c r="E143" s="5" t="inlineStr">
        <is>
          <t>Google Ads</t>
        </is>
      </c>
      <c r="F143" s="5" t="inlineStr">
        <is>
          <t>solarafitband.example.com</t>
        </is>
      </c>
      <c r="G143" s="8" t="n">
        <v>5480</v>
      </c>
      <c r="H143" s="8" t="n">
        <v>4807</v>
      </c>
      <c r="I143" s="8" t="n">
        <v>115</v>
      </c>
      <c r="J143" s="9">
        <f>I143/H143</f>
        <v/>
      </c>
      <c r="K143" s="8" t="n">
        <v>99</v>
      </c>
      <c r="L143" s="8" t="n">
        <v>3</v>
      </c>
      <c r="M143" s="5" t="inlineStr">
        <is>
          <t>N/A</t>
        </is>
      </c>
      <c r="N143" s="5" t="inlineStr">
        <is>
          <t>N/A</t>
        </is>
      </c>
      <c r="O143" s="8" t="inlineStr">
        <is>
          <t>N/A</t>
        </is>
      </c>
      <c r="P143" s="5" t="n">
        <v>3</v>
      </c>
      <c r="Q143" s="8">
        <f>IFERROR(G143/L143,0)</f>
        <v/>
      </c>
      <c r="R143" s="8" t="n">
        <v>17883</v>
      </c>
      <c r="S143" s="10">
        <f>IFERROR(R143/G143,0)</f>
        <v/>
      </c>
    </row>
    <row r="144">
      <c r="A144" s="7" t="n">
        <v>46253</v>
      </c>
      <c r="B144" s="5" t="inlineStr">
        <is>
          <t>Solara Fitband</t>
        </is>
      </c>
      <c r="C144" s="5" t="inlineStr">
        <is>
          <t>Consumer Electronics / Wearables</t>
        </is>
      </c>
      <c r="D144" s="5" t="inlineStr">
        <is>
          <t>B2C</t>
        </is>
      </c>
      <c r="E144" s="5" t="inlineStr">
        <is>
          <t>Google Ads</t>
        </is>
      </c>
      <c r="F144" s="5" t="inlineStr">
        <is>
          <t>solarafitband.example.com</t>
        </is>
      </c>
      <c r="G144" s="8" t="n">
        <v>5305</v>
      </c>
      <c r="H144" s="8" t="n">
        <v>4874</v>
      </c>
      <c r="I144" s="8" t="n">
        <v>117</v>
      </c>
      <c r="J144" s="9">
        <f>I144/H144</f>
        <v/>
      </c>
      <c r="K144" s="8" t="n">
        <v>103</v>
      </c>
      <c r="L144" s="8" t="n">
        <v>3</v>
      </c>
      <c r="M144" s="5" t="inlineStr">
        <is>
          <t>N/A</t>
        </is>
      </c>
      <c r="N144" s="5" t="inlineStr">
        <is>
          <t>N/A</t>
        </is>
      </c>
      <c r="O144" s="8" t="inlineStr">
        <is>
          <t>N/A</t>
        </is>
      </c>
      <c r="P144" s="5" t="n">
        <v>3</v>
      </c>
      <c r="Q144" s="8">
        <f>IFERROR(G144/L144,0)</f>
        <v/>
      </c>
      <c r="R144" s="8" t="n">
        <v>18132</v>
      </c>
      <c r="S144" s="10">
        <f>IFERROR(R144/G144,0)</f>
        <v/>
      </c>
    </row>
    <row r="145">
      <c r="A145" s="7" t="n">
        <v>46254</v>
      </c>
      <c r="B145" s="5" t="inlineStr">
        <is>
          <t>Solara Fitband</t>
        </is>
      </c>
      <c r="C145" s="5" t="inlineStr">
        <is>
          <t>Consumer Electronics / Wearables</t>
        </is>
      </c>
      <c r="D145" s="5" t="inlineStr">
        <is>
          <t>B2C</t>
        </is>
      </c>
      <c r="E145" s="5" t="inlineStr">
        <is>
          <t>Google Ads</t>
        </is>
      </c>
      <c r="F145" s="5" t="inlineStr">
        <is>
          <t>solarafitband.example.com</t>
        </is>
      </c>
      <c r="G145" s="8" t="n">
        <v>5195</v>
      </c>
      <c r="H145" s="8" t="n">
        <v>5457</v>
      </c>
      <c r="I145" s="8" t="n">
        <v>131</v>
      </c>
      <c r="J145" s="9">
        <f>I145/H145</f>
        <v/>
      </c>
      <c r="K145" s="8" t="n">
        <v>122</v>
      </c>
      <c r="L145" s="8" t="n">
        <v>3</v>
      </c>
      <c r="M145" s="5" t="inlineStr">
        <is>
          <t>N/A</t>
        </is>
      </c>
      <c r="N145" s="5" t="inlineStr">
        <is>
          <t>N/A</t>
        </is>
      </c>
      <c r="O145" s="8" t="inlineStr">
        <is>
          <t>N/A</t>
        </is>
      </c>
      <c r="P145" s="5" t="n">
        <v>3</v>
      </c>
      <c r="Q145" s="8">
        <f>IFERROR(G145/L145,0)</f>
        <v/>
      </c>
      <c r="R145" s="8" t="n">
        <v>20300</v>
      </c>
      <c r="S145" s="10">
        <f>IFERROR(R145/G145,0)</f>
        <v/>
      </c>
    </row>
    <row r="146">
      <c r="A146" s="7" t="n">
        <v>46255</v>
      </c>
      <c r="B146" s="5" t="inlineStr">
        <is>
          <t>Solara Fitband</t>
        </is>
      </c>
      <c r="C146" s="5" t="inlineStr">
        <is>
          <t>Consumer Electronics / Wearables</t>
        </is>
      </c>
      <c r="D146" s="5" t="inlineStr">
        <is>
          <t>B2C</t>
        </is>
      </c>
      <c r="E146" s="5" t="inlineStr">
        <is>
          <t>Google Ads</t>
        </is>
      </c>
      <c r="F146" s="5" t="inlineStr">
        <is>
          <t>solarafitband.example.com</t>
        </is>
      </c>
      <c r="G146" s="8" t="n">
        <v>5112</v>
      </c>
      <c r="H146" s="8" t="n">
        <v>6232</v>
      </c>
      <c r="I146" s="8" t="n">
        <v>150</v>
      </c>
      <c r="J146" s="9">
        <f>I146/H146</f>
        <v/>
      </c>
      <c r="K146" s="8" t="n">
        <v>144</v>
      </c>
      <c r="L146" s="8" t="n">
        <v>4</v>
      </c>
      <c r="M146" s="5" t="inlineStr">
        <is>
          <t>N/A</t>
        </is>
      </c>
      <c r="N146" s="5" t="inlineStr">
        <is>
          <t>N/A</t>
        </is>
      </c>
      <c r="O146" s="8" t="inlineStr">
        <is>
          <t>N/A</t>
        </is>
      </c>
      <c r="P146" s="5" t="n">
        <v>4</v>
      </c>
      <c r="Q146" s="8">
        <f>IFERROR(G146/L146,0)</f>
        <v/>
      </c>
      <c r="R146" s="8" t="n">
        <v>23182</v>
      </c>
      <c r="S146" s="10">
        <f>IFERROR(R146/G146,0)</f>
        <v/>
      </c>
    </row>
    <row r="147">
      <c r="A147" s="7" t="n">
        <v>46256</v>
      </c>
      <c r="B147" s="5" t="inlineStr">
        <is>
          <t>Solara Fitband</t>
        </is>
      </c>
      <c r="C147" s="5" t="inlineStr">
        <is>
          <t>Consumer Electronics / Wearables</t>
        </is>
      </c>
      <c r="D147" s="5" t="inlineStr">
        <is>
          <t>B2C</t>
        </is>
      </c>
      <c r="E147" s="5" t="inlineStr">
        <is>
          <t>Google Ads</t>
        </is>
      </c>
      <c r="F147" s="5" t="inlineStr">
        <is>
          <t>solarafitband.example.com</t>
        </is>
      </c>
      <c r="G147" s="8" t="n">
        <v>5252</v>
      </c>
      <c r="H147" s="8" t="n">
        <v>4578</v>
      </c>
      <c r="I147" s="8" t="n">
        <v>110</v>
      </c>
      <c r="J147" s="9">
        <f>I147/H147</f>
        <v/>
      </c>
      <c r="K147" s="8" t="n">
        <v>93</v>
      </c>
      <c r="L147" s="8" t="n">
        <v>3</v>
      </c>
      <c r="M147" s="5" t="inlineStr">
        <is>
          <t>N/A</t>
        </is>
      </c>
      <c r="N147" s="5" t="inlineStr">
        <is>
          <t>N/A</t>
        </is>
      </c>
      <c r="O147" s="8" t="inlineStr">
        <is>
          <t>N/A</t>
        </is>
      </c>
      <c r="P147" s="5" t="n">
        <v>3</v>
      </c>
      <c r="Q147" s="8">
        <f>IFERROR(G147/L147,0)</f>
        <v/>
      </c>
      <c r="R147" s="8" t="n">
        <v>17029</v>
      </c>
      <c r="S147" s="10">
        <f>IFERROR(R147/G147,0)</f>
        <v/>
      </c>
    </row>
    <row r="148">
      <c r="A148" s="7" t="n">
        <v>46257</v>
      </c>
      <c r="B148" s="5" t="inlineStr">
        <is>
          <t>Solara Fitband</t>
        </is>
      </c>
      <c r="C148" s="5" t="inlineStr">
        <is>
          <t>Consumer Electronics / Wearables</t>
        </is>
      </c>
      <c r="D148" s="5" t="inlineStr">
        <is>
          <t>B2C</t>
        </is>
      </c>
      <c r="E148" s="5" t="inlineStr">
        <is>
          <t>Google Ads</t>
        </is>
      </c>
      <c r="F148" s="5" t="inlineStr">
        <is>
          <t>solarafitband.example.com</t>
        </is>
      </c>
      <c r="G148" s="8" t="n">
        <v>5572</v>
      </c>
      <c r="H148" s="8" t="n">
        <v>5862</v>
      </c>
      <c r="I148" s="8" t="n">
        <v>141</v>
      </c>
      <c r="J148" s="9">
        <f>I148/H148</f>
        <v/>
      </c>
      <c r="K148" s="8" t="n">
        <v>129</v>
      </c>
      <c r="L148" s="8" t="n">
        <v>4</v>
      </c>
      <c r="M148" s="5" t="inlineStr">
        <is>
          <t>N/A</t>
        </is>
      </c>
      <c r="N148" s="5" t="inlineStr">
        <is>
          <t>N/A</t>
        </is>
      </c>
      <c r="O148" s="8" t="inlineStr">
        <is>
          <t>N/A</t>
        </is>
      </c>
      <c r="P148" s="5" t="n">
        <v>4</v>
      </c>
      <c r="Q148" s="8">
        <f>IFERROR(G148/L148,0)</f>
        <v/>
      </c>
      <c r="R148" s="8" t="n">
        <v>21808</v>
      </c>
      <c r="S148" s="10">
        <f>IFERROR(R148/G148,0)</f>
        <v/>
      </c>
    </row>
    <row r="149">
      <c r="A149" s="7" t="n">
        <v>46258</v>
      </c>
      <c r="B149" s="5" t="inlineStr">
        <is>
          <t>Solara Fitband</t>
        </is>
      </c>
      <c r="C149" s="5" t="inlineStr">
        <is>
          <t>Consumer Electronics / Wearables</t>
        </is>
      </c>
      <c r="D149" s="5" t="inlineStr">
        <is>
          <t>B2C</t>
        </is>
      </c>
      <c r="E149" s="5" t="inlineStr">
        <is>
          <t>Google Ads</t>
        </is>
      </c>
      <c r="F149" s="5" t="inlineStr">
        <is>
          <t>solarafitband.example.com</t>
        </is>
      </c>
      <c r="G149" s="8" t="n">
        <v>5731</v>
      </c>
      <c r="H149" s="8" t="n">
        <v>7134</v>
      </c>
      <c r="I149" s="8" t="n">
        <v>171</v>
      </c>
      <c r="J149" s="9">
        <f>I149/H149</f>
        <v/>
      </c>
      <c r="K149" s="8" t="n">
        <v>161</v>
      </c>
      <c r="L149" s="8" t="n">
        <v>4</v>
      </c>
      <c r="M149" s="5" t="inlineStr">
        <is>
          <t>N/A</t>
        </is>
      </c>
      <c r="N149" s="5" t="inlineStr">
        <is>
          <t>N/A</t>
        </is>
      </c>
      <c r="O149" s="8" t="inlineStr">
        <is>
          <t>N/A</t>
        </is>
      </c>
      <c r="P149" s="5" t="n">
        <v>4</v>
      </c>
      <c r="Q149" s="8">
        <f>IFERROR(G149/L149,0)</f>
        <v/>
      </c>
      <c r="R149" s="8" t="n">
        <v>26538</v>
      </c>
      <c r="S149" s="10">
        <f>IFERROR(R149/G149,0)</f>
        <v/>
      </c>
    </row>
    <row r="150">
      <c r="A150" s="7" t="n">
        <v>46259</v>
      </c>
      <c r="B150" s="5" t="inlineStr">
        <is>
          <t>Solara Fitband</t>
        </is>
      </c>
      <c r="C150" s="5" t="inlineStr">
        <is>
          <t>Consumer Electronics / Wearables</t>
        </is>
      </c>
      <c r="D150" s="5" t="inlineStr">
        <is>
          <t>B2C</t>
        </is>
      </c>
      <c r="E150" s="5" t="inlineStr">
        <is>
          <t>Google Ads</t>
        </is>
      </c>
      <c r="F150" s="5" t="inlineStr">
        <is>
          <t>solarafitband.example.com</t>
        </is>
      </c>
      <c r="G150" s="8" t="n">
        <v>5620</v>
      </c>
      <c r="H150" s="8" t="n">
        <v>4603</v>
      </c>
      <c r="I150" s="8" t="n">
        <v>110</v>
      </c>
      <c r="J150" s="9">
        <f>I150/H150</f>
        <v/>
      </c>
      <c r="K150" s="8" t="n">
        <v>94</v>
      </c>
      <c r="L150" s="8" t="n">
        <v>3</v>
      </c>
      <c r="M150" s="5" t="inlineStr">
        <is>
          <t>N/A</t>
        </is>
      </c>
      <c r="N150" s="5" t="inlineStr">
        <is>
          <t>N/A</t>
        </is>
      </c>
      <c r="O150" s="8" t="inlineStr">
        <is>
          <t>N/A</t>
        </is>
      </c>
      <c r="P150" s="5" t="n">
        <v>3</v>
      </c>
      <c r="Q150" s="8">
        <f>IFERROR(G150/L150,0)</f>
        <v/>
      </c>
      <c r="R150" s="8" t="n">
        <v>17123</v>
      </c>
      <c r="S150" s="10">
        <f>IFERROR(R150/G150,0)</f>
        <v/>
      </c>
    </row>
    <row r="151">
      <c r="A151" s="7" t="n">
        <v>46260</v>
      </c>
      <c r="B151" s="5" t="inlineStr">
        <is>
          <t>Solara Fitband</t>
        </is>
      </c>
      <c r="C151" s="5" t="inlineStr">
        <is>
          <t>Consumer Electronics / Wearables</t>
        </is>
      </c>
      <c r="D151" s="5" t="inlineStr">
        <is>
          <t>B2C</t>
        </is>
      </c>
      <c r="E151" s="5" t="inlineStr">
        <is>
          <t>Google Ads</t>
        </is>
      </c>
      <c r="F151" s="5" t="inlineStr">
        <is>
          <t>solarafitband.example.com</t>
        </is>
      </c>
      <c r="G151" s="8" t="n">
        <v>5300</v>
      </c>
      <c r="H151" s="8" t="n">
        <v>4582</v>
      </c>
      <c r="I151" s="8" t="n">
        <v>110</v>
      </c>
      <c r="J151" s="9">
        <f>I151/H151</f>
        <v/>
      </c>
      <c r="K151" s="8" t="n">
        <v>99</v>
      </c>
      <c r="L151" s="8" t="n">
        <v>3</v>
      </c>
      <c r="M151" s="5" t="inlineStr">
        <is>
          <t>N/A</t>
        </is>
      </c>
      <c r="N151" s="5" t="inlineStr">
        <is>
          <t>N/A</t>
        </is>
      </c>
      <c r="O151" s="8" t="inlineStr">
        <is>
          <t>N/A</t>
        </is>
      </c>
      <c r="P151" s="5" t="n">
        <v>3</v>
      </c>
      <c r="Q151" s="8">
        <f>IFERROR(G151/L151,0)</f>
        <v/>
      </c>
      <c r="R151" s="8" t="n">
        <v>17044</v>
      </c>
      <c r="S151" s="10">
        <f>IFERROR(R151/G151,0)</f>
        <v/>
      </c>
    </row>
    <row r="152">
      <c r="A152" s="7" t="n">
        <v>46261</v>
      </c>
      <c r="B152" s="5" t="inlineStr">
        <is>
          <t>Solara Fitband</t>
        </is>
      </c>
      <c r="C152" s="5" t="inlineStr">
        <is>
          <t>Consumer Electronics / Wearables</t>
        </is>
      </c>
      <c r="D152" s="5" t="inlineStr">
        <is>
          <t>B2C</t>
        </is>
      </c>
      <c r="E152" s="5" t="inlineStr">
        <is>
          <t>Google Ads</t>
        </is>
      </c>
      <c r="F152" s="5" t="inlineStr">
        <is>
          <t>solarafitband.example.com</t>
        </is>
      </c>
      <c r="G152" s="8" t="n">
        <v>5953</v>
      </c>
      <c r="H152" s="8" t="n">
        <v>5772</v>
      </c>
      <c r="I152" s="8" t="n">
        <v>139</v>
      </c>
      <c r="J152" s="9">
        <f>I152/H152</f>
        <v/>
      </c>
      <c r="K152" s="8" t="n">
        <v>134</v>
      </c>
      <c r="L152" s="8" t="n">
        <v>3</v>
      </c>
      <c r="M152" s="5" t="inlineStr">
        <is>
          <t>N/A</t>
        </is>
      </c>
      <c r="N152" s="5" t="inlineStr">
        <is>
          <t>N/A</t>
        </is>
      </c>
      <c r="O152" s="8" t="inlineStr">
        <is>
          <t>N/A</t>
        </is>
      </c>
      <c r="P152" s="5" t="n">
        <v>3</v>
      </c>
      <c r="Q152" s="8">
        <f>IFERROR(G152/L152,0)</f>
        <v/>
      </c>
      <c r="R152" s="8" t="n">
        <v>21471</v>
      </c>
      <c r="S152" s="10">
        <f>IFERROR(R152/G152,0)</f>
        <v/>
      </c>
    </row>
    <row r="153">
      <c r="A153" s="7" t="n">
        <v>46262</v>
      </c>
      <c r="B153" s="5" t="inlineStr">
        <is>
          <t>Solara Fitband</t>
        </is>
      </c>
      <c r="C153" s="5" t="inlineStr">
        <is>
          <t>Consumer Electronics / Wearables</t>
        </is>
      </c>
      <c r="D153" s="5" t="inlineStr">
        <is>
          <t>B2C</t>
        </is>
      </c>
      <c r="E153" s="5" t="inlineStr">
        <is>
          <t>Google Ads</t>
        </is>
      </c>
      <c r="F153" s="5" t="inlineStr">
        <is>
          <t>solarafitband.example.com</t>
        </is>
      </c>
      <c r="G153" s="8" t="n">
        <v>5890</v>
      </c>
      <c r="H153" s="8" t="n">
        <v>5641</v>
      </c>
      <c r="I153" s="8" t="n">
        <v>135</v>
      </c>
      <c r="J153" s="9">
        <f>I153/H153</f>
        <v/>
      </c>
      <c r="K153" s="8" t="n">
        <v>127</v>
      </c>
      <c r="L153" s="8" t="n">
        <v>3</v>
      </c>
      <c r="M153" s="5" t="inlineStr">
        <is>
          <t>N/A</t>
        </is>
      </c>
      <c r="N153" s="5" t="inlineStr">
        <is>
          <t>N/A</t>
        </is>
      </c>
      <c r="O153" s="8" t="inlineStr">
        <is>
          <t>N/A</t>
        </is>
      </c>
      <c r="P153" s="5" t="n">
        <v>3</v>
      </c>
      <c r="Q153" s="8">
        <f>IFERROR(G153/L153,0)</f>
        <v/>
      </c>
      <c r="R153" s="8" t="n">
        <v>20983</v>
      </c>
      <c r="S153" s="10">
        <f>IFERROR(R153/G153,0)</f>
        <v/>
      </c>
    </row>
    <row r="154">
      <c r="A154" s="7" t="n">
        <v>46263</v>
      </c>
      <c r="B154" s="5" t="inlineStr">
        <is>
          <t>Solara Fitband</t>
        </is>
      </c>
      <c r="C154" s="5" t="inlineStr">
        <is>
          <t>Consumer Electronics / Wearables</t>
        </is>
      </c>
      <c r="D154" s="5" t="inlineStr">
        <is>
          <t>B2C</t>
        </is>
      </c>
      <c r="E154" s="5" t="inlineStr">
        <is>
          <t>Google Ads</t>
        </is>
      </c>
      <c r="F154" s="5" t="inlineStr">
        <is>
          <t>solarafitband.example.com</t>
        </is>
      </c>
      <c r="G154" s="8" t="n">
        <v>5537</v>
      </c>
      <c r="H154" s="8" t="n">
        <v>6208</v>
      </c>
      <c r="I154" s="8" t="n">
        <v>149</v>
      </c>
      <c r="J154" s="9">
        <f>I154/H154</f>
        <v/>
      </c>
      <c r="K154" s="8" t="n">
        <v>131</v>
      </c>
      <c r="L154" s="8" t="n">
        <v>4</v>
      </c>
      <c r="M154" s="5" t="inlineStr">
        <is>
          <t>N/A</t>
        </is>
      </c>
      <c r="N154" s="5" t="inlineStr">
        <is>
          <t>N/A</t>
        </is>
      </c>
      <c r="O154" s="8" t="inlineStr">
        <is>
          <t>N/A</t>
        </is>
      </c>
      <c r="P154" s="5" t="n">
        <v>4</v>
      </c>
      <c r="Q154" s="8">
        <f>IFERROR(G154/L154,0)</f>
        <v/>
      </c>
      <c r="R154" s="8" t="n">
        <v>23094</v>
      </c>
      <c r="S154" s="10">
        <f>IFERROR(R154/G154,0)</f>
        <v/>
      </c>
    </row>
    <row r="155">
      <c r="A155" s="7" t="n">
        <v>46264</v>
      </c>
      <c r="B155" s="5" t="inlineStr">
        <is>
          <t>Solara Fitband</t>
        </is>
      </c>
      <c r="C155" s="5" t="inlineStr">
        <is>
          <t>Consumer Electronics / Wearables</t>
        </is>
      </c>
      <c r="D155" s="5" t="inlineStr">
        <is>
          <t>B2C</t>
        </is>
      </c>
      <c r="E155" s="5" t="inlineStr">
        <is>
          <t>Google Ads</t>
        </is>
      </c>
      <c r="F155" s="5" t="inlineStr">
        <is>
          <t>solarafitband.example.com</t>
        </is>
      </c>
      <c r="G155" s="8" t="n">
        <v>5344</v>
      </c>
      <c r="H155" s="8" t="n">
        <v>5617</v>
      </c>
      <c r="I155" s="8" t="n">
        <v>135</v>
      </c>
      <c r="J155" s="9">
        <f>I155/H155</f>
        <v/>
      </c>
      <c r="K155" s="8" t="n">
        <v>130</v>
      </c>
      <c r="L155" s="8" t="n">
        <v>3</v>
      </c>
      <c r="M155" s="5" t="inlineStr">
        <is>
          <t>N/A</t>
        </is>
      </c>
      <c r="N155" s="5" t="inlineStr">
        <is>
          <t>N/A</t>
        </is>
      </c>
      <c r="O155" s="8" t="inlineStr">
        <is>
          <t>N/A</t>
        </is>
      </c>
      <c r="P155" s="5" t="n">
        <v>3</v>
      </c>
      <c r="Q155" s="8">
        <f>IFERROR(G155/L155,0)</f>
        <v/>
      </c>
      <c r="R155" s="8" t="n">
        <v>20896</v>
      </c>
      <c r="S155" s="10">
        <f>IFERROR(R155/G155,0)</f>
        <v/>
      </c>
    </row>
    <row r="156">
      <c r="A156" s="7" t="n">
        <v>46265</v>
      </c>
      <c r="B156" s="5" t="inlineStr">
        <is>
          <t>Solara Fitband</t>
        </is>
      </c>
      <c r="C156" s="5" t="inlineStr">
        <is>
          <t>Consumer Electronics / Wearables</t>
        </is>
      </c>
      <c r="D156" s="5" t="inlineStr">
        <is>
          <t>B2C</t>
        </is>
      </c>
      <c r="E156" s="5" t="inlineStr">
        <is>
          <t>Google Ads</t>
        </is>
      </c>
      <c r="F156" s="5" t="inlineStr">
        <is>
          <t>solarafitband.example.com</t>
        </is>
      </c>
      <c r="G156" s="8" t="n">
        <v>5815</v>
      </c>
      <c r="H156" s="8" t="n">
        <v>4675</v>
      </c>
      <c r="I156" s="8" t="n">
        <v>112</v>
      </c>
      <c r="J156" s="9">
        <f>I156/H156</f>
        <v/>
      </c>
      <c r="K156" s="8" t="n">
        <v>100</v>
      </c>
      <c r="L156" s="8" t="n">
        <v>3</v>
      </c>
      <c r="M156" s="5" t="inlineStr">
        <is>
          <t>N/A</t>
        </is>
      </c>
      <c r="N156" s="5" t="inlineStr">
        <is>
          <t>N/A</t>
        </is>
      </c>
      <c r="O156" s="8" t="inlineStr">
        <is>
          <t>N/A</t>
        </is>
      </c>
      <c r="P156" s="5" t="n">
        <v>3</v>
      </c>
      <c r="Q156" s="8">
        <f>IFERROR(G156/L156,0)</f>
        <v/>
      </c>
      <c r="R156" s="8" t="n">
        <v>17390</v>
      </c>
      <c r="S156" s="10">
        <f>IFERROR(R156/G156,0)</f>
        <v/>
      </c>
    </row>
    <row r="157">
      <c r="A157" s="7" t="n">
        <v>46235</v>
      </c>
      <c r="B157" s="5" t="inlineStr">
        <is>
          <t>Solara Fitband</t>
        </is>
      </c>
      <c r="C157" s="5" t="inlineStr">
        <is>
          <t>Consumer Electronics / Wearables</t>
        </is>
      </c>
      <c r="D157" s="5" t="inlineStr">
        <is>
          <t>B2C</t>
        </is>
      </c>
      <c r="E157" s="5" t="inlineStr">
        <is>
          <t>Facebook</t>
        </is>
      </c>
      <c r="F157" s="5" t="inlineStr">
        <is>
          <t>solarafitband.example.com</t>
        </is>
      </c>
      <c r="G157" s="8" t="n">
        <v>5421</v>
      </c>
      <c r="H157" s="8" t="n">
        <v>8374</v>
      </c>
      <c r="I157" s="8" t="n">
        <v>126</v>
      </c>
      <c r="J157" s="9">
        <f>I157/H157</f>
        <v/>
      </c>
      <c r="K157" s="8" t="n">
        <v>122</v>
      </c>
      <c r="L157" s="8" t="n">
        <v>2</v>
      </c>
      <c r="M157" s="5" t="inlineStr">
        <is>
          <t>N/A</t>
        </is>
      </c>
      <c r="N157" s="5" t="inlineStr">
        <is>
          <t>N/A</t>
        </is>
      </c>
      <c r="O157" s="8" t="inlineStr">
        <is>
          <t>N/A</t>
        </is>
      </c>
      <c r="P157" s="5" t="n">
        <v>2</v>
      </c>
      <c r="Q157" s="8">
        <f>IFERROR(G157/L157,0)</f>
        <v/>
      </c>
      <c r="R157" s="8" t="n">
        <v>14018</v>
      </c>
      <c r="S157" s="10">
        <f>IFERROR(R157/G157,0)</f>
        <v/>
      </c>
    </row>
    <row r="158">
      <c r="A158" s="7" t="n">
        <v>46236</v>
      </c>
      <c r="B158" s="5" t="inlineStr">
        <is>
          <t>Solara Fitband</t>
        </is>
      </c>
      <c r="C158" s="5" t="inlineStr">
        <is>
          <t>Consumer Electronics / Wearables</t>
        </is>
      </c>
      <c r="D158" s="5" t="inlineStr">
        <is>
          <t>B2C</t>
        </is>
      </c>
      <c r="E158" s="5" t="inlineStr">
        <is>
          <t>Facebook</t>
        </is>
      </c>
      <c r="F158" s="5" t="inlineStr">
        <is>
          <t>solarafitband.example.com</t>
        </is>
      </c>
      <c r="G158" s="8" t="n">
        <v>4470</v>
      </c>
      <c r="H158" s="8" t="n">
        <v>7425</v>
      </c>
      <c r="I158" s="8" t="n">
        <v>111</v>
      </c>
      <c r="J158" s="9">
        <f>I158/H158</f>
        <v/>
      </c>
      <c r="K158" s="8" t="n">
        <v>96</v>
      </c>
      <c r="L158" s="8" t="n">
        <v>2</v>
      </c>
      <c r="M158" s="5" t="inlineStr">
        <is>
          <t>N/A</t>
        </is>
      </c>
      <c r="N158" s="5" t="inlineStr">
        <is>
          <t>N/A</t>
        </is>
      </c>
      <c r="O158" s="8" t="inlineStr">
        <is>
          <t>N/A</t>
        </is>
      </c>
      <c r="P158" s="5" t="n">
        <v>2</v>
      </c>
      <c r="Q158" s="8">
        <f>IFERROR(G158/L158,0)</f>
        <v/>
      </c>
      <c r="R158" s="8" t="n">
        <v>12429</v>
      </c>
      <c r="S158" s="10">
        <f>IFERROR(R158/G158,0)</f>
        <v/>
      </c>
    </row>
    <row r="159">
      <c r="A159" s="7" t="n">
        <v>46237</v>
      </c>
      <c r="B159" s="5" t="inlineStr">
        <is>
          <t>Solara Fitband</t>
        </is>
      </c>
      <c r="C159" s="5" t="inlineStr">
        <is>
          <t>Consumer Electronics / Wearables</t>
        </is>
      </c>
      <c r="D159" s="5" t="inlineStr">
        <is>
          <t>B2C</t>
        </is>
      </c>
      <c r="E159" s="5" t="inlineStr">
        <is>
          <t>Facebook</t>
        </is>
      </c>
      <c r="F159" s="5" t="inlineStr">
        <is>
          <t>solarafitband.example.com</t>
        </is>
      </c>
      <c r="G159" s="8" t="n">
        <v>3976</v>
      </c>
      <c r="H159" s="8" t="n">
        <v>6821</v>
      </c>
      <c r="I159" s="8" t="n">
        <v>102</v>
      </c>
      <c r="J159" s="9">
        <f>I159/H159</f>
        <v/>
      </c>
      <c r="K159" s="8" t="n">
        <v>88</v>
      </c>
      <c r="L159" s="8" t="n">
        <v>2</v>
      </c>
      <c r="M159" s="5" t="inlineStr">
        <is>
          <t>N/A</t>
        </is>
      </c>
      <c r="N159" s="5" t="inlineStr">
        <is>
          <t>N/A</t>
        </is>
      </c>
      <c r="O159" s="8" t="inlineStr">
        <is>
          <t>N/A</t>
        </is>
      </c>
      <c r="P159" s="5" t="n">
        <v>2</v>
      </c>
      <c r="Q159" s="8">
        <f>IFERROR(G159/L159,0)</f>
        <v/>
      </c>
      <c r="R159" s="8" t="n">
        <v>11418</v>
      </c>
      <c r="S159" s="10">
        <f>IFERROR(R159/G159,0)</f>
        <v/>
      </c>
    </row>
    <row r="160">
      <c r="A160" s="7" t="n">
        <v>46238</v>
      </c>
      <c r="B160" s="5" t="inlineStr">
        <is>
          <t>Solara Fitband</t>
        </is>
      </c>
      <c r="C160" s="5" t="inlineStr">
        <is>
          <t>Consumer Electronics / Wearables</t>
        </is>
      </c>
      <c r="D160" s="5" t="inlineStr">
        <is>
          <t>B2C</t>
        </is>
      </c>
      <c r="E160" s="5" t="inlineStr">
        <is>
          <t>Facebook</t>
        </is>
      </c>
      <c r="F160" s="5" t="inlineStr">
        <is>
          <t>solarafitband.example.com</t>
        </is>
      </c>
      <c r="G160" s="8" t="n">
        <v>4500</v>
      </c>
      <c r="H160" s="8" t="n">
        <v>6200</v>
      </c>
      <c r="I160" s="8" t="n">
        <v>93</v>
      </c>
      <c r="J160" s="9">
        <f>I160/H160</f>
        <v/>
      </c>
      <c r="K160" s="8" t="n">
        <v>82</v>
      </c>
      <c r="L160" s="8" t="n">
        <v>2</v>
      </c>
      <c r="M160" s="5" t="inlineStr">
        <is>
          <t>N/A</t>
        </is>
      </c>
      <c r="N160" s="5" t="inlineStr">
        <is>
          <t>N/A</t>
        </is>
      </c>
      <c r="O160" s="8" t="inlineStr">
        <is>
          <t>N/A</t>
        </is>
      </c>
      <c r="P160" s="5" t="n">
        <v>2</v>
      </c>
      <c r="Q160" s="8">
        <f>IFERROR(G160/L160,0)</f>
        <v/>
      </c>
      <c r="R160" s="8" t="n">
        <v>10379</v>
      </c>
      <c r="S160" s="10">
        <f>IFERROR(R160/G160,0)</f>
        <v/>
      </c>
    </row>
    <row r="161">
      <c r="A161" s="7" t="n">
        <v>46239</v>
      </c>
      <c r="B161" s="5" t="inlineStr">
        <is>
          <t>Solara Fitband</t>
        </is>
      </c>
      <c r="C161" s="5" t="inlineStr">
        <is>
          <t>Consumer Electronics / Wearables</t>
        </is>
      </c>
      <c r="D161" s="5" t="inlineStr">
        <is>
          <t>B2C</t>
        </is>
      </c>
      <c r="E161" s="5" t="inlineStr">
        <is>
          <t>Facebook</t>
        </is>
      </c>
      <c r="F161" s="5" t="inlineStr">
        <is>
          <t>solarafitband.example.com</t>
        </is>
      </c>
      <c r="G161" s="8" t="n">
        <v>4508</v>
      </c>
      <c r="H161" s="8" t="n">
        <v>6295</v>
      </c>
      <c r="I161" s="8" t="n">
        <v>94</v>
      </c>
      <c r="J161" s="9">
        <f>I161/H161</f>
        <v/>
      </c>
      <c r="K161" s="8" t="n">
        <v>81</v>
      </c>
      <c r="L161" s="8" t="n">
        <v>2</v>
      </c>
      <c r="M161" s="5" t="inlineStr">
        <is>
          <t>N/A</t>
        </is>
      </c>
      <c r="N161" s="5" t="inlineStr">
        <is>
          <t>N/A</t>
        </is>
      </c>
      <c r="O161" s="8" t="inlineStr">
        <is>
          <t>N/A</t>
        </is>
      </c>
      <c r="P161" s="5" t="n">
        <v>2</v>
      </c>
      <c r="Q161" s="8">
        <f>IFERROR(G161/L161,0)</f>
        <v/>
      </c>
      <c r="R161" s="8" t="n">
        <v>10538</v>
      </c>
      <c r="S161" s="10">
        <f>IFERROR(R161/G161,0)</f>
        <v/>
      </c>
    </row>
    <row r="162">
      <c r="A162" s="7" t="n">
        <v>46240</v>
      </c>
      <c r="B162" s="5" t="inlineStr">
        <is>
          <t>Solara Fitband</t>
        </is>
      </c>
      <c r="C162" s="5" t="inlineStr">
        <is>
          <t>Consumer Electronics / Wearables</t>
        </is>
      </c>
      <c r="D162" s="5" t="inlineStr">
        <is>
          <t>B2C</t>
        </is>
      </c>
      <c r="E162" s="5" t="inlineStr">
        <is>
          <t>Facebook</t>
        </is>
      </c>
      <c r="F162" s="5" t="inlineStr">
        <is>
          <t>solarafitband.example.com</t>
        </is>
      </c>
      <c r="G162" s="8" t="n">
        <v>4539</v>
      </c>
      <c r="H162" s="8" t="n">
        <v>8318</v>
      </c>
      <c r="I162" s="8" t="n">
        <v>125</v>
      </c>
      <c r="J162" s="9">
        <f>I162/H162</f>
        <v/>
      </c>
      <c r="K162" s="8" t="n">
        <v>113</v>
      </c>
      <c r="L162" s="8" t="n">
        <v>2</v>
      </c>
      <c r="M162" s="5" t="inlineStr">
        <is>
          <t>N/A</t>
        </is>
      </c>
      <c r="N162" s="5" t="inlineStr">
        <is>
          <t>N/A</t>
        </is>
      </c>
      <c r="O162" s="8" t="inlineStr">
        <is>
          <t>N/A</t>
        </is>
      </c>
      <c r="P162" s="5" t="n">
        <v>2</v>
      </c>
      <c r="Q162" s="8">
        <f>IFERROR(G162/L162,0)</f>
        <v/>
      </c>
      <c r="R162" s="8" t="n">
        <v>13924</v>
      </c>
      <c r="S162" s="10">
        <f>IFERROR(R162/G162,0)</f>
        <v/>
      </c>
    </row>
    <row r="163">
      <c r="A163" s="7" t="n">
        <v>46241</v>
      </c>
      <c r="B163" s="5" t="inlineStr">
        <is>
          <t>Solara Fitband</t>
        </is>
      </c>
      <c r="C163" s="5" t="inlineStr">
        <is>
          <t>Consumer Electronics / Wearables</t>
        </is>
      </c>
      <c r="D163" s="5" t="inlineStr">
        <is>
          <t>B2C</t>
        </is>
      </c>
      <c r="E163" s="5" t="inlineStr">
        <is>
          <t>Facebook</t>
        </is>
      </c>
      <c r="F163" s="5" t="inlineStr">
        <is>
          <t>solarafitband.example.com</t>
        </is>
      </c>
      <c r="G163" s="8" t="n">
        <v>4241</v>
      </c>
      <c r="H163" s="8" t="n">
        <v>6887</v>
      </c>
      <c r="I163" s="8" t="n">
        <v>103</v>
      </c>
      <c r="J163" s="9">
        <f>I163/H163</f>
        <v/>
      </c>
      <c r="K163" s="8" t="n">
        <v>95</v>
      </c>
      <c r="L163" s="8" t="n">
        <v>2</v>
      </c>
      <c r="M163" s="5" t="inlineStr">
        <is>
          <t>N/A</t>
        </is>
      </c>
      <c r="N163" s="5" t="inlineStr">
        <is>
          <t>N/A</t>
        </is>
      </c>
      <c r="O163" s="8" t="inlineStr">
        <is>
          <t>N/A</t>
        </is>
      </c>
      <c r="P163" s="5" t="n">
        <v>2</v>
      </c>
      <c r="Q163" s="8">
        <f>IFERROR(G163/L163,0)</f>
        <v/>
      </c>
      <c r="R163" s="8" t="n">
        <v>11529</v>
      </c>
      <c r="S163" s="10">
        <f>IFERROR(R163/G163,0)</f>
        <v/>
      </c>
    </row>
    <row r="164">
      <c r="A164" s="7" t="n">
        <v>46242</v>
      </c>
      <c r="B164" s="5" t="inlineStr">
        <is>
          <t>Solara Fitband</t>
        </is>
      </c>
      <c r="C164" s="5" t="inlineStr">
        <is>
          <t>Consumer Electronics / Wearables</t>
        </is>
      </c>
      <c r="D164" s="5" t="inlineStr">
        <is>
          <t>B2C</t>
        </is>
      </c>
      <c r="E164" s="5" t="inlineStr">
        <is>
          <t>Facebook</t>
        </is>
      </c>
      <c r="F164" s="5" t="inlineStr">
        <is>
          <t>solarafitband.example.com</t>
        </is>
      </c>
      <c r="G164" s="8" t="n">
        <v>4787</v>
      </c>
      <c r="H164" s="8" t="n">
        <v>5740</v>
      </c>
      <c r="I164" s="8" t="n">
        <v>86</v>
      </c>
      <c r="J164" s="9">
        <f>I164/H164</f>
        <v/>
      </c>
      <c r="K164" s="8" t="n">
        <v>77</v>
      </c>
      <c r="L164" s="8" t="n">
        <v>2</v>
      </c>
      <c r="M164" s="5" t="inlineStr">
        <is>
          <t>N/A</t>
        </is>
      </c>
      <c r="N164" s="5" t="inlineStr">
        <is>
          <t>N/A</t>
        </is>
      </c>
      <c r="O164" s="8" t="inlineStr">
        <is>
          <t>N/A</t>
        </is>
      </c>
      <c r="P164" s="5" t="n">
        <v>2</v>
      </c>
      <c r="Q164" s="8">
        <f>IFERROR(G164/L164,0)</f>
        <v/>
      </c>
      <c r="R164" s="8" t="n">
        <v>9609</v>
      </c>
      <c r="S164" s="10">
        <f>IFERROR(R164/G164,0)</f>
        <v/>
      </c>
    </row>
    <row r="165">
      <c r="A165" s="7" t="n">
        <v>46243</v>
      </c>
      <c r="B165" s="5" t="inlineStr">
        <is>
          <t>Solara Fitband</t>
        </is>
      </c>
      <c r="C165" s="5" t="inlineStr">
        <is>
          <t>Consumer Electronics / Wearables</t>
        </is>
      </c>
      <c r="D165" s="5" t="inlineStr">
        <is>
          <t>B2C</t>
        </is>
      </c>
      <c r="E165" s="5" t="inlineStr">
        <is>
          <t>Facebook</t>
        </is>
      </c>
      <c r="F165" s="5" t="inlineStr">
        <is>
          <t>solarafitband.example.com</t>
        </is>
      </c>
      <c r="G165" s="8" t="n">
        <v>4769</v>
      </c>
      <c r="H165" s="8" t="n">
        <v>9040</v>
      </c>
      <c r="I165" s="8" t="n">
        <v>136</v>
      </c>
      <c r="J165" s="9">
        <f>I165/H165</f>
        <v/>
      </c>
      <c r="K165" s="8" t="n">
        <v>116</v>
      </c>
      <c r="L165" s="8" t="n">
        <v>2</v>
      </c>
      <c r="M165" s="5" t="inlineStr">
        <is>
          <t>N/A</t>
        </is>
      </c>
      <c r="N165" s="5" t="inlineStr">
        <is>
          <t>N/A</t>
        </is>
      </c>
      <c r="O165" s="8" t="inlineStr">
        <is>
          <t>N/A</t>
        </is>
      </c>
      <c r="P165" s="5" t="n">
        <v>2</v>
      </c>
      <c r="Q165" s="8">
        <f>IFERROR(G165/L165,0)</f>
        <v/>
      </c>
      <c r="R165" s="8" t="n">
        <v>15132</v>
      </c>
      <c r="S165" s="10">
        <f>IFERROR(R165/G165,0)</f>
        <v/>
      </c>
    </row>
    <row r="166">
      <c r="A166" s="7" t="n">
        <v>46244</v>
      </c>
      <c r="B166" s="5" t="inlineStr">
        <is>
          <t>Solara Fitband</t>
        </is>
      </c>
      <c r="C166" s="5" t="inlineStr">
        <is>
          <t>Consumer Electronics / Wearables</t>
        </is>
      </c>
      <c r="D166" s="5" t="inlineStr">
        <is>
          <t>B2C</t>
        </is>
      </c>
      <c r="E166" s="5" t="inlineStr">
        <is>
          <t>Facebook</t>
        </is>
      </c>
      <c r="F166" s="5" t="inlineStr">
        <is>
          <t>solarafitband.example.com</t>
        </is>
      </c>
      <c r="G166" s="8" t="n">
        <v>4119</v>
      </c>
      <c r="H166" s="8" t="n">
        <v>7369</v>
      </c>
      <c r="I166" s="8" t="n">
        <v>111</v>
      </c>
      <c r="J166" s="9">
        <f>I166/H166</f>
        <v/>
      </c>
      <c r="K166" s="8" t="n">
        <v>96</v>
      </c>
      <c r="L166" s="8" t="n">
        <v>2</v>
      </c>
      <c r="M166" s="5" t="inlineStr">
        <is>
          <t>N/A</t>
        </is>
      </c>
      <c r="N166" s="5" t="inlineStr">
        <is>
          <t>N/A</t>
        </is>
      </c>
      <c r="O166" s="8" t="inlineStr">
        <is>
          <t>N/A</t>
        </is>
      </c>
      <c r="P166" s="5" t="n">
        <v>2</v>
      </c>
      <c r="Q166" s="8">
        <f>IFERROR(G166/L166,0)</f>
        <v/>
      </c>
      <c r="R166" s="8" t="n">
        <v>12335</v>
      </c>
      <c r="S166" s="10">
        <f>IFERROR(R166/G166,0)</f>
        <v/>
      </c>
    </row>
    <row r="167">
      <c r="A167" s="7" t="n">
        <v>46245</v>
      </c>
      <c r="B167" s="5" t="inlineStr">
        <is>
          <t>Solara Fitband</t>
        </is>
      </c>
      <c r="C167" s="5" t="inlineStr">
        <is>
          <t>Consumer Electronics / Wearables</t>
        </is>
      </c>
      <c r="D167" s="5" t="inlineStr">
        <is>
          <t>B2C</t>
        </is>
      </c>
      <c r="E167" s="5" t="inlineStr">
        <is>
          <t>Facebook</t>
        </is>
      </c>
      <c r="F167" s="5" t="inlineStr">
        <is>
          <t>solarafitband.example.com</t>
        </is>
      </c>
      <c r="G167" s="8" t="n">
        <v>4825</v>
      </c>
      <c r="H167" s="8" t="n">
        <v>7643</v>
      </c>
      <c r="I167" s="8" t="n">
        <v>115</v>
      </c>
      <c r="J167" s="9">
        <f>I167/H167</f>
        <v/>
      </c>
      <c r="K167" s="8" t="n">
        <v>103</v>
      </c>
      <c r="L167" s="8" t="n">
        <v>2</v>
      </c>
      <c r="M167" s="5" t="inlineStr">
        <is>
          <t>N/A</t>
        </is>
      </c>
      <c r="N167" s="5" t="inlineStr">
        <is>
          <t>N/A</t>
        </is>
      </c>
      <c r="O167" s="8" t="inlineStr">
        <is>
          <t>N/A</t>
        </is>
      </c>
      <c r="P167" s="5" t="n">
        <v>2</v>
      </c>
      <c r="Q167" s="8">
        <f>IFERROR(G167/L167,0)</f>
        <v/>
      </c>
      <c r="R167" s="8" t="n">
        <v>12794</v>
      </c>
      <c r="S167" s="10">
        <f>IFERROR(R167/G167,0)</f>
        <v/>
      </c>
    </row>
    <row r="168">
      <c r="A168" s="7" t="n">
        <v>46246</v>
      </c>
      <c r="B168" s="5" t="inlineStr">
        <is>
          <t>Solara Fitband</t>
        </is>
      </c>
      <c r="C168" s="5" t="inlineStr">
        <is>
          <t>Consumer Electronics / Wearables</t>
        </is>
      </c>
      <c r="D168" s="5" t="inlineStr">
        <is>
          <t>B2C</t>
        </is>
      </c>
      <c r="E168" s="5" t="inlineStr">
        <is>
          <t>Facebook</t>
        </is>
      </c>
      <c r="F168" s="5" t="inlineStr">
        <is>
          <t>solarafitband.example.com</t>
        </is>
      </c>
      <c r="G168" s="8" t="n">
        <v>5261</v>
      </c>
      <c r="H168" s="8" t="n">
        <v>7674</v>
      </c>
      <c r="I168" s="8" t="n">
        <v>115</v>
      </c>
      <c r="J168" s="9">
        <f>I168/H168</f>
        <v/>
      </c>
      <c r="K168" s="8" t="n">
        <v>99</v>
      </c>
      <c r="L168" s="8" t="n">
        <v>2</v>
      </c>
      <c r="M168" s="5" t="inlineStr">
        <is>
          <t>N/A</t>
        </is>
      </c>
      <c r="N168" s="5" t="inlineStr">
        <is>
          <t>N/A</t>
        </is>
      </c>
      <c r="O168" s="8" t="inlineStr">
        <is>
          <t>N/A</t>
        </is>
      </c>
      <c r="P168" s="5" t="n">
        <v>2</v>
      </c>
      <c r="Q168" s="8">
        <f>IFERROR(G168/L168,0)</f>
        <v/>
      </c>
      <c r="R168" s="8" t="n">
        <v>12846</v>
      </c>
      <c r="S168" s="10">
        <f>IFERROR(R168/G168,0)</f>
        <v/>
      </c>
    </row>
    <row r="169">
      <c r="A169" s="7" t="n">
        <v>46247</v>
      </c>
      <c r="B169" s="5" t="inlineStr">
        <is>
          <t>Solara Fitband</t>
        </is>
      </c>
      <c r="C169" s="5" t="inlineStr">
        <is>
          <t>Consumer Electronics / Wearables</t>
        </is>
      </c>
      <c r="D169" s="5" t="inlineStr">
        <is>
          <t>B2C</t>
        </is>
      </c>
      <c r="E169" s="5" t="inlineStr">
        <is>
          <t>Facebook</t>
        </is>
      </c>
      <c r="F169" s="5" t="inlineStr">
        <is>
          <t>solarafitband.example.com</t>
        </is>
      </c>
      <c r="G169" s="8" t="n">
        <v>4655</v>
      </c>
      <c r="H169" s="8" t="n">
        <v>8874</v>
      </c>
      <c r="I169" s="8" t="n">
        <v>133</v>
      </c>
      <c r="J169" s="9">
        <f>I169/H169</f>
        <v/>
      </c>
      <c r="K169" s="8" t="n">
        <v>125</v>
      </c>
      <c r="L169" s="8" t="n">
        <v>2</v>
      </c>
      <c r="M169" s="5" t="inlineStr">
        <is>
          <t>N/A</t>
        </is>
      </c>
      <c r="N169" s="5" t="inlineStr">
        <is>
          <t>N/A</t>
        </is>
      </c>
      <c r="O169" s="8" t="inlineStr">
        <is>
          <t>N/A</t>
        </is>
      </c>
      <c r="P169" s="5" t="n">
        <v>2</v>
      </c>
      <c r="Q169" s="8">
        <f>IFERROR(G169/L169,0)</f>
        <v/>
      </c>
      <c r="R169" s="8" t="n">
        <v>14855</v>
      </c>
      <c r="S169" s="10">
        <f>IFERROR(R169/G169,0)</f>
        <v/>
      </c>
    </row>
    <row r="170">
      <c r="A170" s="7" t="n">
        <v>46248</v>
      </c>
      <c r="B170" s="5" t="inlineStr">
        <is>
          <t>Solara Fitband</t>
        </is>
      </c>
      <c r="C170" s="5" t="inlineStr">
        <is>
          <t>Consumer Electronics / Wearables</t>
        </is>
      </c>
      <c r="D170" s="5" t="inlineStr">
        <is>
          <t>B2C</t>
        </is>
      </c>
      <c r="E170" s="5" t="inlineStr">
        <is>
          <t>Facebook</t>
        </is>
      </c>
      <c r="F170" s="5" t="inlineStr">
        <is>
          <t>solarafitband.example.com</t>
        </is>
      </c>
      <c r="G170" s="8" t="n">
        <v>4491</v>
      </c>
      <c r="H170" s="8" t="n">
        <v>8107</v>
      </c>
      <c r="I170" s="8" t="n">
        <v>122</v>
      </c>
      <c r="J170" s="9">
        <f>I170/H170</f>
        <v/>
      </c>
      <c r="K170" s="8" t="n">
        <v>107</v>
      </c>
      <c r="L170" s="8" t="n">
        <v>2</v>
      </c>
      <c r="M170" s="5" t="inlineStr">
        <is>
          <t>N/A</t>
        </is>
      </c>
      <c r="N170" s="5" t="inlineStr">
        <is>
          <t>N/A</t>
        </is>
      </c>
      <c r="O170" s="8" t="inlineStr">
        <is>
          <t>N/A</t>
        </is>
      </c>
      <c r="P170" s="5" t="n">
        <v>2</v>
      </c>
      <c r="Q170" s="8">
        <f>IFERROR(G170/L170,0)</f>
        <v/>
      </c>
      <c r="R170" s="8" t="n">
        <v>13571</v>
      </c>
      <c r="S170" s="10">
        <f>IFERROR(R170/G170,0)</f>
        <v/>
      </c>
    </row>
    <row r="171">
      <c r="A171" s="7" t="n">
        <v>46249</v>
      </c>
      <c r="B171" s="5" t="inlineStr">
        <is>
          <t>Solara Fitband</t>
        </is>
      </c>
      <c r="C171" s="5" t="inlineStr">
        <is>
          <t>Consumer Electronics / Wearables</t>
        </is>
      </c>
      <c r="D171" s="5" t="inlineStr">
        <is>
          <t>B2C</t>
        </is>
      </c>
      <c r="E171" s="5" t="inlineStr">
        <is>
          <t>Facebook</t>
        </is>
      </c>
      <c r="F171" s="5" t="inlineStr">
        <is>
          <t>solarafitband.example.com</t>
        </is>
      </c>
      <c r="G171" s="8" t="n">
        <v>4554</v>
      </c>
      <c r="H171" s="8" t="n">
        <v>10145</v>
      </c>
      <c r="I171" s="8" t="n">
        <v>152</v>
      </c>
      <c r="J171" s="9">
        <f>I171/H171</f>
        <v/>
      </c>
      <c r="K171" s="8" t="n">
        <v>135</v>
      </c>
      <c r="L171" s="8" t="n">
        <v>3</v>
      </c>
      <c r="M171" s="5" t="inlineStr">
        <is>
          <t>N/A</t>
        </is>
      </c>
      <c r="N171" s="5" t="inlineStr">
        <is>
          <t>N/A</t>
        </is>
      </c>
      <c r="O171" s="8" t="inlineStr">
        <is>
          <t>N/A</t>
        </is>
      </c>
      <c r="P171" s="5" t="n">
        <v>3</v>
      </c>
      <c r="Q171" s="8">
        <f>IFERROR(G171/L171,0)</f>
        <v/>
      </c>
      <c r="R171" s="8" t="n">
        <v>16984</v>
      </c>
      <c r="S171" s="10">
        <f>IFERROR(R171/G171,0)</f>
        <v/>
      </c>
    </row>
    <row r="172">
      <c r="A172" s="7" t="n">
        <v>46250</v>
      </c>
      <c r="B172" s="5" t="inlineStr">
        <is>
          <t>Solara Fitband</t>
        </is>
      </c>
      <c r="C172" s="5" t="inlineStr">
        <is>
          <t>Consumer Electronics / Wearables</t>
        </is>
      </c>
      <c r="D172" s="5" t="inlineStr">
        <is>
          <t>B2C</t>
        </is>
      </c>
      <c r="E172" s="5" t="inlineStr">
        <is>
          <t>Facebook</t>
        </is>
      </c>
      <c r="F172" s="5" t="inlineStr">
        <is>
          <t>solarafitband.example.com</t>
        </is>
      </c>
      <c r="G172" s="8" t="n">
        <v>4798</v>
      </c>
      <c r="H172" s="8" t="n">
        <v>8731</v>
      </c>
      <c r="I172" s="8" t="n">
        <v>131</v>
      </c>
      <c r="J172" s="9">
        <f>I172/H172</f>
        <v/>
      </c>
      <c r="K172" s="8" t="n">
        <v>118</v>
      </c>
      <c r="L172" s="8" t="n">
        <v>2</v>
      </c>
      <c r="M172" s="5" t="inlineStr">
        <is>
          <t>N/A</t>
        </is>
      </c>
      <c r="N172" s="5" t="inlineStr">
        <is>
          <t>N/A</t>
        </is>
      </c>
      <c r="O172" s="8" t="inlineStr">
        <is>
          <t>N/A</t>
        </is>
      </c>
      <c r="P172" s="5" t="n">
        <v>2</v>
      </c>
      <c r="Q172" s="8">
        <f>IFERROR(G172/L172,0)</f>
        <v/>
      </c>
      <c r="R172" s="8" t="n">
        <v>14616</v>
      </c>
      <c r="S172" s="10">
        <f>IFERROR(R172/G172,0)</f>
        <v/>
      </c>
    </row>
    <row r="173">
      <c r="A173" s="7" t="n">
        <v>46251</v>
      </c>
      <c r="B173" s="5" t="inlineStr">
        <is>
          <t>Solara Fitband</t>
        </is>
      </c>
      <c r="C173" s="5" t="inlineStr">
        <is>
          <t>Consumer Electronics / Wearables</t>
        </is>
      </c>
      <c r="D173" s="5" t="inlineStr">
        <is>
          <t>B2C</t>
        </is>
      </c>
      <c r="E173" s="5" t="inlineStr">
        <is>
          <t>Facebook</t>
        </is>
      </c>
      <c r="F173" s="5" t="inlineStr">
        <is>
          <t>solarafitband.example.com</t>
        </is>
      </c>
      <c r="G173" s="8" t="n">
        <v>4043</v>
      </c>
      <c r="H173" s="8" t="n">
        <v>7329</v>
      </c>
      <c r="I173" s="8" t="n">
        <v>110</v>
      </c>
      <c r="J173" s="9">
        <f>I173/H173</f>
        <v/>
      </c>
      <c r="K173" s="8" t="n">
        <v>99</v>
      </c>
      <c r="L173" s="8" t="n">
        <v>2</v>
      </c>
      <c r="M173" s="5" t="inlineStr">
        <is>
          <t>N/A</t>
        </is>
      </c>
      <c r="N173" s="5" t="inlineStr">
        <is>
          <t>N/A</t>
        </is>
      </c>
      <c r="O173" s="8" t="inlineStr">
        <is>
          <t>N/A</t>
        </is>
      </c>
      <c r="P173" s="5" t="n">
        <v>2</v>
      </c>
      <c r="Q173" s="8">
        <f>IFERROR(G173/L173,0)</f>
        <v/>
      </c>
      <c r="R173" s="8" t="n">
        <v>12269</v>
      </c>
      <c r="S173" s="10">
        <f>IFERROR(R173/G173,0)</f>
        <v/>
      </c>
    </row>
    <row r="174">
      <c r="A174" s="7" t="n">
        <v>46252</v>
      </c>
      <c r="B174" s="5" t="inlineStr">
        <is>
          <t>Solara Fitband</t>
        </is>
      </c>
      <c r="C174" s="5" t="inlineStr">
        <is>
          <t>Consumer Electronics / Wearables</t>
        </is>
      </c>
      <c r="D174" s="5" t="inlineStr">
        <is>
          <t>B2C</t>
        </is>
      </c>
      <c r="E174" s="5" t="inlineStr">
        <is>
          <t>Facebook</t>
        </is>
      </c>
      <c r="F174" s="5" t="inlineStr">
        <is>
          <t>solarafitband.example.com</t>
        </is>
      </c>
      <c r="G174" s="8" t="n">
        <v>4653</v>
      </c>
      <c r="H174" s="8" t="n">
        <v>7899</v>
      </c>
      <c r="I174" s="8" t="n">
        <v>118</v>
      </c>
      <c r="J174" s="9">
        <f>I174/H174</f>
        <v/>
      </c>
      <c r="K174" s="8" t="n">
        <v>101</v>
      </c>
      <c r="L174" s="8" t="n">
        <v>2</v>
      </c>
      <c r="M174" s="5" t="inlineStr">
        <is>
          <t>N/A</t>
        </is>
      </c>
      <c r="N174" s="5" t="inlineStr">
        <is>
          <t>N/A</t>
        </is>
      </c>
      <c r="O174" s="8" t="inlineStr">
        <is>
          <t>N/A</t>
        </is>
      </c>
      <c r="P174" s="5" t="n">
        <v>2</v>
      </c>
      <c r="Q174" s="8">
        <f>IFERROR(G174/L174,0)</f>
        <v/>
      </c>
      <c r="R174" s="8" t="n">
        <v>13223</v>
      </c>
      <c r="S174" s="10">
        <f>IFERROR(R174/G174,0)</f>
        <v/>
      </c>
    </row>
    <row r="175">
      <c r="A175" s="7" t="n">
        <v>46253</v>
      </c>
      <c r="B175" s="5" t="inlineStr">
        <is>
          <t>Solara Fitband</t>
        </is>
      </c>
      <c r="C175" s="5" t="inlineStr">
        <is>
          <t>Consumer Electronics / Wearables</t>
        </is>
      </c>
      <c r="D175" s="5" t="inlineStr">
        <is>
          <t>B2C</t>
        </is>
      </c>
      <c r="E175" s="5" t="inlineStr">
        <is>
          <t>Facebook</t>
        </is>
      </c>
      <c r="F175" s="5" t="inlineStr">
        <is>
          <t>solarafitband.example.com</t>
        </is>
      </c>
      <c r="G175" s="8" t="n">
        <v>4474</v>
      </c>
      <c r="H175" s="8" t="n">
        <v>8511</v>
      </c>
      <c r="I175" s="8" t="n">
        <v>128</v>
      </c>
      <c r="J175" s="9">
        <f>I175/H175</f>
        <v/>
      </c>
      <c r="K175" s="8" t="n">
        <v>110</v>
      </c>
      <c r="L175" s="8" t="n">
        <v>2</v>
      </c>
      <c r="M175" s="5" t="inlineStr">
        <is>
          <t>N/A</t>
        </is>
      </c>
      <c r="N175" s="5" t="inlineStr">
        <is>
          <t>N/A</t>
        </is>
      </c>
      <c r="O175" s="8" t="inlineStr">
        <is>
          <t>N/A</t>
        </is>
      </c>
      <c r="P175" s="5" t="n">
        <v>2</v>
      </c>
      <c r="Q175" s="8">
        <f>IFERROR(G175/L175,0)</f>
        <v/>
      </c>
      <c r="R175" s="8" t="n">
        <v>14247</v>
      </c>
      <c r="S175" s="10">
        <f>IFERROR(R175/G175,0)</f>
        <v/>
      </c>
    </row>
    <row r="176">
      <c r="A176" s="7" t="n">
        <v>46254</v>
      </c>
      <c r="B176" s="5" t="inlineStr">
        <is>
          <t>Solara Fitband</t>
        </is>
      </c>
      <c r="C176" s="5" t="inlineStr">
        <is>
          <t>Consumer Electronics / Wearables</t>
        </is>
      </c>
      <c r="D176" s="5" t="inlineStr">
        <is>
          <t>B2C</t>
        </is>
      </c>
      <c r="E176" s="5" t="inlineStr">
        <is>
          <t>Facebook</t>
        </is>
      </c>
      <c r="F176" s="5" t="inlineStr">
        <is>
          <t>solarafitband.example.com</t>
        </is>
      </c>
      <c r="G176" s="8" t="n">
        <v>5195</v>
      </c>
      <c r="H176" s="8" t="n">
        <v>9675</v>
      </c>
      <c r="I176" s="8" t="n">
        <v>145</v>
      </c>
      <c r="J176" s="9">
        <f>I176/H176</f>
        <v/>
      </c>
      <c r="K176" s="8" t="n">
        <v>140</v>
      </c>
      <c r="L176" s="8" t="n">
        <v>3</v>
      </c>
      <c r="M176" s="5" t="inlineStr">
        <is>
          <t>N/A</t>
        </is>
      </c>
      <c r="N176" s="5" t="inlineStr">
        <is>
          <t>N/A</t>
        </is>
      </c>
      <c r="O176" s="8" t="inlineStr">
        <is>
          <t>N/A</t>
        </is>
      </c>
      <c r="P176" s="5" t="n">
        <v>3</v>
      </c>
      <c r="Q176" s="8">
        <f>IFERROR(G176/L176,0)</f>
        <v/>
      </c>
      <c r="R176" s="8" t="n">
        <v>16196</v>
      </c>
      <c r="S176" s="10">
        <f>IFERROR(R176/G176,0)</f>
        <v/>
      </c>
    </row>
    <row r="177">
      <c r="A177" s="7" t="n">
        <v>46255</v>
      </c>
      <c r="B177" s="5" t="inlineStr">
        <is>
          <t>Solara Fitband</t>
        </is>
      </c>
      <c r="C177" s="5" t="inlineStr">
        <is>
          <t>Consumer Electronics / Wearables</t>
        </is>
      </c>
      <c r="D177" s="5" t="inlineStr">
        <is>
          <t>B2C</t>
        </is>
      </c>
      <c r="E177" s="5" t="inlineStr">
        <is>
          <t>Facebook</t>
        </is>
      </c>
      <c r="F177" s="5" t="inlineStr">
        <is>
          <t>solarafitband.example.com</t>
        </is>
      </c>
      <c r="G177" s="8" t="n">
        <v>4544</v>
      </c>
      <c r="H177" s="8" t="n">
        <v>9054</v>
      </c>
      <c r="I177" s="8" t="n">
        <v>136</v>
      </c>
      <c r="J177" s="9">
        <f>I177/H177</f>
        <v/>
      </c>
      <c r="K177" s="8" t="n">
        <v>115</v>
      </c>
      <c r="L177" s="8" t="n">
        <v>2</v>
      </c>
      <c r="M177" s="5" t="inlineStr">
        <is>
          <t>N/A</t>
        </is>
      </c>
      <c r="N177" s="5" t="inlineStr">
        <is>
          <t>N/A</t>
        </is>
      </c>
      <c r="O177" s="8" t="inlineStr">
        <is>
          <t>N/A</t>
        </is>
      </c>
      <c r="P177" s="5" t="n">
        <v>2</v>
      </c>
      <c r="Q177" s="8">
        <f>IFERROR(G177/L177,0)</f>
        <v/>
      </c>
      <c r="R177" s="8" t="n">
        <v>15157</v>
      </c>
      <c r="S177" s="10">
        <f>IFERROR(R177/G177,0)</f>
        <v/>
      </c>
    </row>
    <row r="178">
      <c r="A178" s="7" t="n">
        <v>46256</v>
      </c>
      <c r="B178" s="5" t="inlineStr">
        <is>
          <t>Solara Fitband</t>
        </is>
      </c>
      <c r="C178" s="5" t="inlineStr">
        <is>
          <t>Consumer Electronics / Wearables</t>
        </is>
      </c>
      <c r="D178" s="5" t="inlineStr">
        <is>
          <t>B2C</t>
        </is>
      </c>
      <c r="E178" s="5" t="inlineStr">
        <is>
          <t>Facebook</t>
        </is>
      </c>
      <c r="F178" s="5" t="inlineStr">
        <is>
          <t>solarafitband.example.com</t>
        </is>
      </c>
      <c r="G178" s="8" t="n">
        <v>5137</v>
      </c>
      <c r="H178" s="8" t="n">
        <v>8343</v>
      </c>
      <c r="I178" s="8" t="n">
        <v>125</v>
      </c>
      <c r="J178" s="9">
        <f>I178/H178</f>
        <v/>
      </c>
      <c r="K178" s="8" t="n">
        <v>115</v>
      </c>
      <c r="L178" s="8" t="n">
        <v>2</v>
      </c>
      <c r="M178" s="5" t="inlineStr">
        <is>
          <t>N/A</t>
        </is>
      </c>
      <c r="N178" s="5" t="inlineStr">
        <is>
          <t>N/A</t>
        </is>
      </c>
      <c r="O178" s="8" t="inlineStr">
        <is>
          <t>N/A</t>
        </is>
      </c>
      <c r="P178" s="5" t="n">
        <v>2</v>
      </c>
      <c r="Q178" s="8">
        <f>IFERROR(G178/L178,0)</f>
        <v/>
      </c>
      <c r="R178" s="8" t="n">
        <v>13966</v>
      </c>
      <c r="S178" s="10">
        <f>IFERROR(R178/G178,0)</f>
        <v/>
      </c>
    </row>
    <row r="179">
      <c r="A179" s="7" t="n">
        <v>46257</v>
      </c>
      <c r="B179" s="5" t="inlineStr">
        <is>
          <t>Solara Fitband</t>
        </is>
      </c>
      <c r="C179" s="5" t="inlineStr">
        <is>
          <t>Consumer Electronics / Wearables</t>
        </is>
      </c>
      <c r="D179" s="5" t="inlineStr">
        <is>
          <t>B2C</t>
        </is>
      </c>
      <c r="E179" s="5" t="inlineStr">
        <is>
          <t>Facebook</t>
        </is>
      </c>
      <c r="F179" s="5" t="inlineStr">
        <is>
          <t>solarafitband.example.com</t>
        </is>
      </c>
      <c r="G179" s="8" t="n">
        <v>4245</v>
      </c>
      <c r="H179" s="8" t="n">
        <v>6969</v>
      </c>
      <c r="I179" s="8" t="n">
        <v>105</v>
      </c>
      <c r="J179" s="9">
        <f>I179/H179</f>
        <v/>
      </c>
      <c r="K179" s="8" t="n">
        <v>96</v>
      </c>
      <c r="L179" s="8" t="n">
        <v>2</v>
      </c>
      <c r="M179" s="5" t="inlineStr">
        <is>
          <t>N/A</t>
        </is>
      </c>
      <c r="N179" s="5" t="inlineStr">
        <is>
          <t>N/A</t>
        </is>
      </c>
      <c r="O179" s="8" t="inlineStr">
        <is>
          <t>N/A</t>
        </is>
      </c>
      <c r="P179" s="5" t="n">
        <v>2</v>
      </c>
      <c r="Q179" s="8">
        <f>IFERROR(G179/L179,0)</f>
        <v/>
      </c>
      <c r="R179" s="8" t="n">
        <v>11666</v>
      </c>
      <c r="S179" s="10">
        <f>IFERROR(R179/G179,0)</f>
        <v/>
      </c>
    </row>
    <row r="180">
      <c r="A180" s="7" t="n">
        <v>46258</v>
      </c>
      <c r="B180" s="5" t="inlineStr">
        <is>
          <t>Solara Fitband</t>
        </is>
      </c>
      <c r="C180" s="5" t="inlineStr">
        <is>
          <t>Consumer Electronics / Wearables</t>
        </is>
      </c>
      <c r="D180" s="5" t="inlineStr">
        <is>
          <t>B2C</t>
        </is>
      </c>
      <c r="E180" s="5" t="inlineStr">
        <is>
          <t>Facebook</t>
        </is>
      </c>
      <c r="F180" s="5" t="inlineStr">
        <is>
          <t>solarafitband.example.com</t>
        </is>
      </c>
      <c r="G180" s="8" t="n">
        <v>4789</v>
      </c>
      <c r="H180" s="8" t="n">
        <v>7820</v>
      </c>
      <c r="I180" s="8" t="n">
        <v>117</v>
      </c>
      <c r="J180" s="9">
        <f>I180/H180</f>
        <v/>
      </c>
      <c r="K180" s="8" t="n">
        <v>105</v>
      </c>
      <c r="L180" s="8" t="n">
        <v>2</v>
      </c>
      <c r="M180" s="5" t="inlineStr">
        <is>
          <t>N/A</t>
        </is>
      </c>
      <c r="N180" s="5" t="inlineStr">
        <is>
          <t>N/A</t>
        </is>
      </c>
      <c r="O180" s="8" t="inlineStr">
        <is>
          <t>N/A</t>
        </is>
      </c>
      <c r="P180" s="5" t="n">
        <v>2</v>
      </c>
      <c r="Q180" s="8">
        <f>IFERROR(G180/L180,0)</f>
        <v/>
      </c>
      <c r="R180" s="8" t="n">
        <v>13090</v>
      </c>
      <c r="S180" s="10">
        <f>IFERROR(R180/G180,0)</f>
        <v/>
      </c>
    </row>
    <row r="181">
      <c r="A181" s="7" t="n">
        <v>46259</v>
      </c>
      <c r="B181" s="5" t="inlineStr">
        <is>
          <t>Solara Fitband</t>
        </is>
      </c>
      <c r="C181" s="5" t="inlineStr">
        <is>
          <t>Consumer Electronics / Wearables</t>
        </is>
      </c>
      <c r="D181" s="5" t="inlineStr">
        <is>
          <t>B2C</t>
        </is>
      </c>
      <c r="E181" s="5" t="inlineStr">
        <is>
          <t>Facebook</t>
        </is>
      </c>
      <c r="F181" s="5" t="inlineStr">
        <is>
          <t>solarafitband.example.com</t>
        </is>
      </c>
      <c r="G181" s="8" t="n">
        <v>4703</v>
      </c>
      <c r="H181" s="8" t="n">
        <v>8920</v>
      </c>
      <c r="I181" s="8" t="n">
        <v>134</v>
      </c>
      <c r="J181" s="9">
        <f>I181/H181</f>
        <v/>
      </c>
      <c r="K181" s="8" t="n">
        <v>121</v>
      </c>
      <c r="L181" s="8" t="n">
        <v>2</v>
      </c>
      <c r="M181" s="5" t="inlineStr">
        <is>
          <t>N/A</t>
        </is>
      </c>
      <c r="N181" s="5" t="inlineStr">
        <is>
          <t>N/A</t>
        </is>
      </c>
      <c r="O181" s="8" t="inlineStr">
        <is>
          <t>N/A</t>
        </is>
      </c>
      <c r="P181" s="5" t="n">
        <v>2</v>
      </c>
      <c r="Q181" s="8">
        <f>IFERROR(G181/L181,0)</f>
        <v/>
      </c>
      <c r="R181" s="8" t="n">
        <v>14932</v>
      </c>
      <c r="S181" s="10">
        <f>IFERROR(R181/G181,0)</f>
        <v/>
      </c>
    </row>
    <row r="182">
      <c r="A182" s="7" t="n">
        <v>46260</v>
      </c>
      <c r="B182" s="5" t="inlineStr">
        <is>
          <t>Solara Fitband</t>
        </is>
      </c>
      <c r="C182" s="5" t="inlineStr">
        <is>
          <t>Consumer Electronics / Wearables</t>
        </is>
      </c>
      <c r="D182" s="5" t="inlineStr">
        <is>
          <t>B2C</t>
        </is>
      </c>
      <c r="E182" s="5" t="inlineStr">
        <is>
          <t>Facebook</t>
        </is>
      </c>
      <c r="F182" s="5" t="inlineStr">
        <is>
          <t>solarafitband.example.com</t>
        </is>
      </c>
      <c r="G182" s="8" t="n">
        <v>4320</v>
      </c>
      <c r="H182" s="8" t="n">
        <v>8830</v>
      </c>
      <c r="I182" s="8" t="n">
        <v>132</v>
      </c>
      <c r="J182" s="9">
        <f>I182/H182</f>
        <v/>
      </c>
      <c r="K182" s="8" t="n">
        <v>126</v>
      </c>
      <c r="L182" s="8" t="n">
        <v>2</v>
      </c>
      <c r="M182" s="5" t="inlineStr">
        <is>
          <t>N/A</t>
        </is>
      </c>
      <c r="N182" s="5" t="inlineStr">
        <is>
          <t>N/A</t>
        </is>
      </c>
      <c r="O182" s="8" t="inlineStr">
        <is>
          <t>N/A</t>
        </is>
      </c>
      <c r="P182" s="5" t="n">
        <v>2</v>
      </c>
      <c r="Q182" s="8">
        <f>IFERROR(G182/L182,0)</f>
        <v/>
      </c>
      <c r="R182" s="8" t="n">
        <v>14781</v>
      </c>
      <c r="S182" s="10">
        <f>IFERROR(R182/G182,0)</f>
        <v/>
      </c>
    </row>
    <row r="183">
      <c r="A183" s="7" t="n">
        <v>46261</v>
      </c>
      <c r="B183" s="5" t="inlineStr">
        <is>
          <t>Solara Fitband</t>
        </is>
      </c>
      <c r="C183" s="5" t="inlineStr">
        <is>
          <t>Consumer Electronics / Wearables</t>
        </is>
      </c>
      <c r="D183" s="5" t="inlineStr">
        <is>
          <t>B2C</t>
        </is>
      </c>
      <c r="E183" s="5" t="inlineStr">
        <is>
          <t>Facebook</t>
        </is>
      </c>
      <c r="F183" s="5" t="inlineStr">
        <is>
          <t>solarafitband.example.com</t>
        </is>
      </c>
      <c r="G183" s="8" t="n">
        <v>4657</v>
      </c>
      <c r="H183" s="8" t="n">
        <v>7624</v>
      </c>
      <c r="I183" s="8" t="n">
        <v>114</v>
      </c>
      <c r="J183" s="9">
        <f>I183/H183</f>
        <v/>
      </c>
      <c r="K183" s="8" t="n">
        <v>110</v>
      </c>
      <c r="L183" s="8" t="n">
        <v>2</v>
      </c>
      <c r="M183" s="5" t="inlineStr">
        <is>
          <t>N/A</t>
        </is>
      </c>
      <c r="N183" s="5" t="inlineStr">
        <is>
          <t>N/A</t>
        </is>
      </c>
      <c r="O183" s="8" t="inlineStr">
        <is>
          <t>N/A</t>
        </is>
      </c>
      <c r="P183" s="5" t="n">
        <v>2</v>
      </c>
      <c r="Q183" s="8">
        <f>IFERROR(G183/L183,0)</f>
        <v/>
      </c>
      <c r="R183" s="8" t="n">
        <v>12762</v>
      </c>
      <c r="S183" s="10">
        <f>IFERROR(R183/G183,0)</f>
        <v/>
      </c>
    </row>
    <row r="184">
      <c r="A184" s="7" t="n">
        <v>46262</v>
      </c>
      <c r="B184" s="5" t="inlineStr">
        <is>
          <t>Solara Fitband</t>
        </is>
      </c>
      <c r="C184" s="5" t="inlineStr">
        <is>
          <t>Consumer Electronics / Wearables</t>
        </is>
      </c>
      <c r="D184" s="5" t="inlineStr">
        <is>
          <t>B2C</t>
        </is>
      </c>
      <c r="E184" s="5" t="inlineStr">
        <is>
          <t>Facebook</t>
        </is>
      </c>
      <c r="F184" s="5" t="inlineStr">
        <is>
          <t>solarafitband.example.com</t>
        </is>
      </c>
      <c r="G184" s="8" t="n">
        <v>4990</v>
      </c>
      <c r="H184" s="8" t="n">
        <v>8205</v>
      </c>
      <c r="I184" s="8" t="n">
        <v>123</v>
      </c>
      <c r="J184" s="9">
        <f>I184/H184</f>
        <v/>
      </c>
      <c r="K184" s="8" t="n">
        <v>109</v>
      </c>
      <c r="L184" s="8" t="n">
        <v>2</v>
      </c>
      <c r="M184" s="5" t="inlineStr">
        <is>
          <t>N/A</t>
        </is>
      </c>
      <c r="N184" s="5" t="inlineStr">
        <is>
          <t>N/A</t>
        </is>
      </c>
      <c r="O184" s="8" t="inlineStr">
        <is>
          <t>N/A</t>
        </is>
      </c>
      <c r="P184" s="5" t="n">
        <v>2</v>
      </c>
      <c r="Q184" s="8">
        <f>IFERROR(G184/L184,0)</f>
        <v/>
      </c>
      <c r="R184" s="8" t="n">
        <v>13735</v>
      </c>
      <c r="S184" s="10">
        <f>IFERROR(R184/G184,0)</f>
        <v/>
      </c>
    </row>
    <row r="185">
      <c r="A185" s="7" t="n">
        <v>46263</v>
      </c>
      <c r="B185" s="5" t="inlineStr">
        <is>
          <t>Solara Fitband</t>
        </is>
      </c>
      <c r="C185" s="5" t="inlineStr">
        <is>
          <t>Consumer Electronics / Wearables</t>
        </is>
      </c>
      <c r="D185" s="5" t="inlineStr">
        <is>
          <t>B2C</t>
        </is>
      </c>
      <c r="E185" s="5" t="inlineStr">
        <is>
          <t>Facebook</t>
        </is>
      </c>
      <c r="F185" s="5" t="inlineStr">
        <is>
          <t>solarafitband.example.com</t>
        </is>
      </c>
      <c r="G185" s="8" t="n">
        <v>4496</v>
      </c>
      <c r="H185" s="8" t="n">
        <v>8082</v>
      </c>
      <c r="I185" s="8" t="n">
        <v>121</v>
      </c>
      <c r="J185" s="9">
        <f>I185/H185</f>
        <v/>
      </c>
      <c r="K185" s="8" t="n">
        <v>108</v>
      </c>
      <c r="L185" s="8" t="n">
        <v>2</v>
      </c>
      <c r="M185" s="5" t="inlineStr">
        <is>
          <t>N/A</t>
        </is>
      </c>
      <c r="N185" s="5" t="inlineStr">
        <is>
          <t>N/A</t>
        </is>
      </c>
      <c r="O185" s="8" t="inlineStr">
        <is>
          <t>N/A</t>
        </is>
      </c>
      <c r="P185" s="5" t="n">
        <v>2</v>
      </c>
      <c r="Q185" s="8">
        <f>IFERROR(G185/L185,0)</f>
        <v/>
      </c>
      <c r="R185" s="8" t="n">
        <v>13529</v>
      </c>
      <c r="S185" s="10">
        <f>IFERROR(R185/G185,0)</f>
        <v/>
      </c>
    </row>
    <row r="186">
      <c r="A186" s="7" t="n">
        <v>46264</v>
      </c>
      <c r="B186" s="5" t="inlineStr">
        <is>
          <t>Solara Fitband</t>
        </is>
      </c>
      <c r="C186" s="5" t="inlineStr">
        <is>
          <t>Consumer Electronics / Wearables</t>
        </is>
      </c>
      <c r="D186" s="5" t="inlineStr">
        <is>
          <t>B2C</t>
        </is>
      </c>
      <c r="E186" s="5" t="inlineStr">
        <is>
          <t>Facebook</t>
        </is>
      </c>
      <c r="F186" s="5" t="inlineStr">
        <is>
          <t>solarafitband.example.com</t>
        </is>
      </c>
      <c r="G186" s="8" t="n">
        <v>4055</v>
      </c>
      <c r="H186" s="8" t="n">
        <v>6818</v>
      </c>
      <c r="I186" s="8" t="n">
        <v>102</v>
      </c>
      <c r="J186" s="9">
        <f>I186/H186</f>
        <v/>
      </c>
      <c r="K186" s="8" t="n">
        <v>90</v>
      </c>
      <c r="L186" s="8" t="n">
        <v>2</v>
      </c>
      <c r="M186" s="5" t="inlineStr">
        <is>
          <t>N/A</t>
        </is>
      </c>
      <c r="N186" s="5" t="inlineStr">
        <is>
          <t>N/A</t>
        </is>
      </c>
      <c r="O186" s="8" t="inlineStr">
        <is>
          <t>N/A</t>
        </is>
      </c>
      <c r="P186" s="5" t="n">
        <v>2</v>
      </c>
      <c r="Q186" s="8">
        <f>IFERROR(G186/L186,0)</f>
        <v/>
      </c>
      <c r="R186" s="8" t="n">
        <v>11413</v>
      </c>
      <c r="S186" s="10">
        <f>IFERROR(R186/G186,0)</f>
        <v/>
      </c>
    </row>
    <row r="187">
      <c r="A187" s="7" t="n">
        <v>46265</v>
      </c>
      <c r="B187" s="5" t="inlineStr">
        <is>
          <t>Solara Fitband</t>
        </is>
      </c>
      <c r="C187" s="5" t="inlineStr">
        <is>
          <t>Consumer Electronics / Wearables</t>
        </is>
      </c>
      <c r="D187" s="5" t="inlineStr">
        <is>
          <t>B2C</t>
        </is>
      </c>
      <c r="E187" s="5" t="inlineStr">
        <is>
          <t>Facebook</t>
        </is>
      </c>
      <c r="F187" s="5" t="inlineStr">
        <is>
          <t>solarafitband.example.com</t>
        </is>
      </c>
      <c r="G187" s="8" t="n">
        <v>4594</v>
      </c>
      <c r="H187" s="8" t="n">
        <v>8868</v>
      </c>
      <c r="I187" s="8" t="n">
        <v>133</v>
      </c>
      <c r="J187" s="9">
        <f>I187/H187</f>
        <v/>
      </c>
      <c r="K187" s="8" t="n">
        <v>121</v>
      </c>
      <c r="L187" s="8" t="n">
        <v>2</v>
      </c>
      <c r="M187" s="5" t="inlineStr">
        <is>
          <t>N/A</t>
        </is>
      </c>
      <c r="N187" s="5" t="inlineStr">
        <is>
          <t>N/A</t>
        </is>
      </c>
      <c r="O187" s="8" t="inlineStr">
        <is>
          <t>N/A</t>
        </is>
      </c>
      <c r="P187" s="5" t="n">
        <v>2</v>
      </c>
      <c r="Q187" s="8">
        <f>IFERROR(G187/L187,0)</f>
        <v/>
      </c>
      <c r="R187" s="8" t="n">
        <v>14846</v>
      </c>
      <c r="S187" s="10">
        <f>IFERROR(R187/G187,0)</f>
        <v/>
      </c>
    </row>
    <row r="188">
      <c r="A188" s="7" t="n">
        <v>46235</v>
      </c>
      <c r="B188" s="5" t="inlineStr">
        <is>
          <t>Aurelia Jewellery</t>
        </is>
      </c>
      <c r="C188" s="5" t="inlineStr">
        <is>
          <t>Luxury / Jewellery</t>
        </is>
      </c>
      <c r="D188" s="5" t="inlineStr">
        <is>
          <t>B2C</t>
        </is>
      </c>
      <c r="E188" s="5" t="inlineStr">
        <is>
          <t>Instagram</t>
        </is>
      </c>
      <c r="F188" s="5" t="inlineStr">
        <is>
          <t>aureliajewellery.example.com</t>
        </is>
      </c>
      <c r="G188" s="8" t="n">
        <v>5238</v>
      </c>
      <c r="H188" s="8" t="n">
        <v>3969</v>
      </c>
      <c r="I188" s="8" t="n">
        <v>67</v>
      </c>
      <c r="J188" s="9">
        <f>I188/H188</f>
        <v/>
      </c>
      <c r="K188" s="8" t="n">
        <v>65</v>
      </c>
      <c r="L188" s="8" t="n">
        <v>1</v>
      </c>
      <c r="M188" s="5" t="inlineStr">
        <is>
          <t>N/A</t>
        </is>
      </c>
      <c r="N188" s="5" t="inlineStr">
        <is>
          <t>N/A</t>
        </is>
      </c>
      <c r="O188" s="8" t="inlineStr">
        <is>
          <t>N/A</t>
        </is>
      </c>
      <c r="P188" s="5" t="n">
        <v>1</v>
      </c>
      <c r="Q188" s="8">
        <f>IFERROR(G188/L188,0)</f>
        <v/>
      </c>
      <c r="R188" s="8" t="n">
        <v>25000</v>
      </c>
      <c r="S188" s="10">
        <f>IFERROR(R188/G188,0)</f>
        <v/>
      </c>
    </row>
    <row r="189">
      <c r="A189" s="7" t="n">
        <v>46236</v>
      </c>
      <c r="B189" s="5" t="inlineStr">
        <is>
          <t>Aurelia Jewellery</t>
        </is>
      </c>
      <c r="C189" s="5" t="inlineStr">
        <is>
          <t>Luxury / Jewellery</t>
        </is>
      </c>
      <c r="D189" s="5" t="inlineStr">
        <is>
          <t>B2C</t>
        </is>
      </c>
      <c r="E189" s="5" t="inlineStr">
        <is>
          <t>Instagram</t>
        </is>
      </c>
      <c r="F189" s="5" t="inlineStr">
        <is>
          <t>aureliajewellery.example.com</t>
        </is>
      </c>
      <c r="G189" s="8" t="n">
        <v>6173</v>
      </c>
      <c r="H189" s="8" t="n">
        <v>3661</v>
      </c>
      <c r="I189" s="8" t="n">
        <v>62</v>
      </c>
      <c r="J189" s="9">
        <f>I189/H189</f>
        <v/>
      </c>
      <c r="K189" s="8" t="n">
        <v>57</v>
      </c>
      <c r="L189" s="8" t="n">
        <v>1</v>
      </c>
      <c r="M189" s="5" t="inlineStr">
        <is>
          <t>N/A</t>
        </is>
      </c>
      <c r="N189" s="5" t="inlineStr">
        <is>
          <t>N/A</t>
        </is>
      </c>
      <c r="O189" s="8" t="inlineStr">
        <is>
          <t>N/A</t>
        </is>
      </c>
      <c r="P189" s="5" t="n">
        <v>1</v>
      </c>
      <c r="Q189" s="8">
        <f>IFERROR(G189/L189,0)</f>
        <v/>
      </c>
      <c r="R189" s="8" t="n">
        <v>23061</v>
      </c>
      <c r="S189" s="10">
        <f>IFERROR(R189/G189,0)</f>
        <v/>
      </c>
    </row>
    <row r="190">
      <c r="A190" s="7" t="n">
        <v>46237</v>
      </c>
      <c r="B190" s="5" t="inlineStr">
        <is>
          <t>Aurelia Jewellery</t>
        </is>
      </c>
      <c r="C190" s="5" t="inlineStr">
        <is>
          <t>Luxury / Jewellery</t>
        </is>
      </c>
      <c r="D190" s="5" t="inlineStr">
        <is>
          <t>B2C</t>
        </is>
      </c>
      <c r="E190" s="5" t="inlineStr">
        <is>
          <t>Instagram</t>
        </is>
      </c>
      <c r="F190" s="5" t="inlineStr">
        <is>
          <t>aureliajewellery.example.com</t>
        </is>
      </c>
      <c r="G190" s="8" t="n">
        <v>5711</v>
      </c>
      <c r="H190" s="8" t="n">
        <v>4199</v>
      </c>
      <c r="I190" s="8" t="n">
        <v>71</v>
      </c>
      <c r="J190" s="9">
        <f>I190/H190</f>
        <v/>
      </c>
      <c r="K190" s="8" t="n">
        <v>66</v>
      </c>
      <c r="L190" s="8" t="n">
        <v>1</v>
      </c>
      <c r="M190" s="5" t="inlineStr">
        <is>
          <t>N/A</t>
        </is>
      </c>
      <c r="N190" s="5" t="inlineStr">
        <is>
          <t>N/A</t>
        </is>
      </c>
      <c r="O190" s="8" t="inlineStr">
        <is>
          <t>N/A</t>
        </is>
      </c>
      <c r="P190" s="5" t="n">
        <v>1</v>
      </c>
      <c r="Q190" s="8">
        <f>IFERROR(G190/L190,0)</f>
        <v/>
      </c>
      <c r="R190" s="8" t="n">
        <v>26446</v>
      </c>
      <c r="S190" s="10">
        <f>IFERROR(R190/G190,0)</f>
        <v/>
      </c>
    </row>
    <row r="191">
      <c r="A191" s="7" t="n">
        <v>46238</v>
      </c>
      <c r="B191" s="5" t="inlineStr">
        <is>
          <t>Aurelia Jewellery</t>
        </is>
      </c>
      <c r="C191" s="5" t="inlineStr">
        <is>
          <t>Luxury / Jewellery</t>
        </is>
      </c>
      <c r="D191" s="5" t="inlineStr">
        <is>
          <t>B2C</t>
        </is>
      </c>
      <c r="E191" s="5" t="inlineStr">
        <is>
          <t>Instagram</t>
        </is>
      </c>
      <c r="F191" s="5" t="inlineStr">
        <is>
          <t>aureliajewellery.example.com</t>
        </is>
      </c>
      <c r="G191" s="8" t="n">
        <v>5901</v>
      </c>
      <c r="H191" s="8" t="n">
        <v>4237</v>
      </c>
      <c r="I191" s="8" t="n">
        <v>72</v>
      </c>
      <c r="J191" s="9">
        <f>I191/H191</f>
        <v/>
      </c>
      <c r="K191" s="8" t="n">
        <v>64</v>
      </c>
      <c r="L191" s="8" t="n">
        <v>1</v>
      </c>
      <c r="M191" s="5" t="inlineStr">
        <is>
          <t>N/A</t>
        </is>
      </c>
      <c r="N191" s="5" t="inlineStr">
        <is>
          <t>N/A</t>
        </is>
      </c>
      <c r="O191" s="8" t="inlineStr">
        <is>
          <t>N/A</t>
        </is>
      </c>
      <c r="P191" s="5" t="n">
        <v>1</v>
      </c>
      <c r="Q191" s="8">
        <f>IFERROR(G191/L191,0)</f>
        <v/>
      </c>
      <c r="R191" s="8" t="n">
        <v>26686</v>
      </c>
      <c r="S191" s="10">
        <f>IFERROR(R191/G191,0)</f>
        <v/>
      </c>
    </row>
    <row r="192">
      <c r="A192" s="7" t="n">
        <v>46239</v>
      </c>
      <c r="B192" s="5" t="inlineStr">
        <is>
          <t>Aurelia Jewellery</t>
        </is>
      </c>
      <c r="C192" s="5" t="inlineStr">
        <is>
          <t>Luxury / Jewellery</t>
        </is>
      </c>
      <c r="D192" s="5" t="inlineStr">
        <is>
          <t>B2C</t>
        </is>
      </c>
      <c r="E192" s="5" t="inlineStr">
        <is>
          <t>Instagram</t>
        </is>
      </c>
      <c r="F192" s="5" t="inlineStr">
        <is>
          <t>aureliajewellery.example.com</t>
        </is>
      </c>
      <c r="G192" s="8" t="n">
        <v>5153</v>
      </c>
      <c r="H192" s="8" t="n">
        <v>3619</v>
      </c>
      <c r="I192" s="8" t="n">
        <v>62</v>
      </c>
      <c r="J192" s="9">
        <f>I192/H192</f>
        <v/>
      </c>
      <c r="K192" s="8" t="n">
        <v>53</v>
      </c>
      <c r="L192" s="8" t="n">
        <v>1</v>
      </c>
      <c r="M192" s="5" t="inlineStr">
        <is>
          <t>N/A</t>
        </is>
      </c>
      <c r="N192" s="5" t="inlineStr">
        <is>
          <t>N/A</t>
        </is>
      </c>
      <c r="O192" s="8" t="inlineStr">
        <is>
          <t>N/A</t>
        </is>
      </c>
      <c r="P192" s="5" t="n">
        <v>1</v>
      </c>
      <c r="Q192" s="8">
        <f>IFERROR(G192/L192,0)</f>
        <v/>
      </c>
      <c r="R192" s="8" t="n">
        <v>22792</v>
      </c>
      <c r="S192" s="10">
        <f>IFERROR(R192/G192,0)</f>
        <v/>
      </c>
    </row>
    <row r="193">
      <c r="A193" s="7" t="n">
        <v>46240</v>
      </c>
      <c r="B193" s="5" t="inlineStr">
        <is>
          <t>Aurelia Jewellery</t>
        </is>
      </c>
      <c r="C193" s="5" t="inlineStr">
        <is>
          <t>Luxury / Jewellery</t>
        </is>
      </c>
      <c r="D193" s="5" t="inlineStr">
        <is>
          <t>B2C</t>
        </is>
      </c>
      <c r="E193" s="5" t="inlineStr">
        <is>
          <t>Instagram</t>
        </is>
      </c>
      <c r="F193" s="5" t="inlineStr">
        <is>
          <t>aureliajewellery.example.com</t>
        </is>
      </c>
      <c r="G193" s="8" t="n">
        <v>5161</v>
      </c>
      <c r="H193" s="8" t="n">
        <v>3958</v>
      </c>
      <c r="I193" s="8" t="n">
        <v>67</v>
      </c>
      <c r="J193" s="9">
        <f>I193/H193</f>
        <v/>
      </c>
      <c r="K193" s="8" t="n">
        <v>62</v>
      </c>
      <c r="L193" s="8" t="n">
        <v>1</v>
      </c>
      <c r="M193" s="5" t="inlineStr">
        <is>
          <t>N/A</t>
        </is>
      </c>
      <c r="N193" s="5" t="inlineStr">
        <is>
          <t>N/A</t>
        </is>
      </c>
      <c r="O193" s="8" t="inlineStr">
        <is>
          <t>N/A</t>
        </is>
      </c>
      <c r="P193" s="5" t="n">
        <v>1</v>
      </c>
      <c r="Q193" s="8">
        <f>IFERROR(G193/L193,0)</f>
        <v/>
      </c>
      <c r="R193" s="8" t="n">
        <v>24927</v>
      </c>
      <c r="S193" s="10">
        <f>IFERROR(R193/G193,0)</f>
        <v/>
      </c>
    </row>
    <row r="194">
      <c r="A194" s="7" t="n">
        <v>46241</v>
      </c>
      <c r="B194" s="5" t="inlineStr">
        <is>
          <t>Aurelia Jewellery</t>
        </is>
      </c>
      <c r="C194" s="5" t="inlineStr">
        <is>
          <t>Luxury / Jewellery</t>
        </is>
      </c>
      <c r="D194" s="5" t="inlineStr">
        <is>
          <t>B2C</t>
        </is>
      </c>
      <c r="E194" s="5" t="inlineStr">
        <is>
          <t>Instagram</t>
        </is>
      </c>
      <c r="F194" s="5" t="inlineStr">
        <is>
          <t>aureliajewellery.example.com</t>
        </is>
      </c>
      <c r="G194" s="8" t="n">
        <v>5776</v>
      </c>
      <c r="H194" s="8" t="n">
        <v>4145</v>
      </c>
      <c r="I194" s="8" t="n">
        <v>70</v>
      </c>
      <c r="J194" s="9">
        <f>I194/H194</f>
        <v/>
      </c>
      <c r="K194" s="8" t="n">
        <v>63</v>
      </c>
      <c r="L194" s="8" t="n">
        <v>1</v>
      </c>
      <c r="M194" s="5" t="inlineStr">
        <is>
          <t>N/A</t>
        </is>
      </c>
      <c r="N194" s="5" t="inlineStr">
        <is>
          <t>N/A</t>
        </is>
      </c>
      <c r="O194" s="8" t="inlineStr">
        <is>
          <t>N/A</t>
        </is>
      </c>
      <c r="P194" s="5" t="n">
        <v>1</v>
      </c>
      <c r="Q194" s="8">
        <f>IFERROR(G194/L194,0)</f>
        <v/>
      </c>
      <c r="R194" s="8" t="n">
        <v>26107</v>
      </c>
      <c r="S194" s="10">
        <f>IFERROR(R194/G194,0)</f>
        <v/>
      </c>
    </row>
    <row r="195">
      <c r="A195" s="7" t="n">
        <v>46242</v>
      </c>
      <c r="B195" s="5" t="inlineStr">
        <is>
          <t>Aurelia Jewellery</t>
        </is>
      </c>
      <c r="C195" s="5" t="inlineStr">
        <is>
          <t>Luxury / Jewellery</t>
        </is>
      </c>
      <c r="D195" s="5" t="inlineStr">
        <is>
          <t>B2C</t>
        </is>
      </c>
      <c r="E195" s="5" t="inlineStr">
        <is>
          <t>Instagram</t>
        </is>
      </c>
      <c r="F195" s="5" t="inlineStr">
        <is>
          <t>aureliajewellery.example.com</t>
        </is>
      </c>
      <c r="G195" s="8" t="n">
        <v>5623</v>
      </c>
      <c r="H195" s="8" t="n">
        <v>4082</v>
      </c>
      <c r="I195" s="8" t="n">
        <v>69</v>
      </c>
      <c r="J195" s="9">
        <f>I195/H195</f>
        <v/>
      </c>
      <c r="K195" s="8" t="n">
        <v>65</v>
      </c>
      <c r="L195" s="8" t="n">
        <v>1</v>
      </c>
      <c r="M195" s="5" t="inlineStr">
        <is>
          <t>N/A</t>
        </is>
      </c>
      <c r="N195" s="5" t="inlineStr">
        <is>
          <t>N/A</t>
        </is>
      </c>
      <c r="O195" s="8" t="inlineStr">
        <is>
          <t>N/A</t>
        </is>
      </c>
      <c r="P195" s="5" t="n">
        <v>1</v>
      </c>
      <c r="Q195" s="8">
        <f>IFERROR(G195/L195,0)</f>
        <v/>
      </c>
      <c r="R195" s="8" t="n">
        <v>25713</v>
      </c>
      <c r="S195" s="10">
        <f>IFERROR(R195/G195,0)</f>
        <v/>
      </c>
    </row>
    <row r="196">
      <c r="A196" s="7" t="n">
        <v>46243</v>
      </c>
      <c r="B196" s="5" t="inlineStr">
        <is>
          <t>Aurelia Jewellery</t>
        </is>
      </c>
      <c r="C196" s="5" t="inlineStr">
        <is>
          <t>Luxury / Jewellery</t>
        </is>
      </c>
      <c r="D196" s="5" t="inlineStr">
        <is>
          <t>B2C</t>
        </is>
      </c>
      <c r="E196" s="5" t="inlineStr">
        <is>
          <t>Instagram</t>
        </is>
      </c>
      <c r="F196" s="5" t="inlineStr">
        <is>
          <t>aureliajewellery.example.com</t>
        </is>
      </c>
      <c r="G196" s="8" t="n">
        <v>5815</v>
      </c>
      <c r="H196" s="8" t="n">
        <v>4174</v>
      </c>
      <c r="I196" s="8" t="n">
        <v>71</v>
      </c>
      <c r="J196" s="9">
        <f>I196/H196</f>
        <v/>
      </c>
      <c r="K196" s="8" t="n">
        <v>68</v>
      </c>
      <c r="L196" s="8" t="n">
        <v>1</v>
      </c>
      <c r="M196" s="5" t="inlineStr">
        <is>
          <t>N/A</t>
        </is>
      </c>
      <c r="N196" s="5" t="inlineStr">
        <is>
          <t>N/A</t>
        </is>
      </c>
      <c r="O196" s="8" t="inlineStr">
        <is>
          <t>N/A</t>
        </is>
      </c>
      <c r="P196" s="5" t="n">
        <v>1</v>
      </c>
      <c r="Q196" s="8">
        <f>IFERROR(G196/L196,0)</f>
        <v/>
      </c>
      <c r="R196" s="8" t="n">
        <v>26290</v>
      </c>
      <c r="S196" s="10">
        <f>IFERROR(R196/G196,0)</f>
        <v/>
      </c>
    </row>
    <row r="197">
      <c r="A197" s="7" t="n">
        <v>46244</v>
      </c>
      <c r="B197" s="5" t="inlineStr">
        <is>
          <t>Aurelia Jewellery</t>
        </is>
      </c>
      <c r="C197" s="5" t="inlineStr">
        <is>
          <t>Luxury / Jewellery</t>
        </is>
      </c>
      <c r="D197" s="5" t="inlineStr">
        <is>
          <t>B2C</t>
        </is>
      </c>
      <c r="E197" s="5" t="inlineStr">
        <is>
          <t>Instagram</t>
        </is>
      </c>
      <c r="F197" s="5" t="inlineStr">
        <is>
          <t>aureliajewellery.example.com</t>
        </is>
      </c>
      <c r="G197" s="8" t="n">
        <v>5526</v>
      </c>
      <c r="H197" s="8" t="n">
        <v>3836</v>
      </c>
      <c r="I197" s="8" t="n">
        <v>65</v>
      </c>
      <c r="J197" s="9">
        <f>I197/H197</f>
        <v/>
      </c>
      <c r="K197" s="8" t="n">
        <v>56</v>
      </c>
      <c r="L197" s="8" t="n">
        <v>1</v>
      </c>
      <c r="M197" s="5" t="inlineStr">
        <is>
          <t>N/A</t>
        </is>
      </c>
      <c r="N197" s="5" t="inlineStr">
        <is>
          <t>N/A</t>
        </is>
      </c>
      <c r="O197" s="8" t="inlineStr">
        <is>
          <t>N/A</t>
        </is>
      </c>
      <c r="P197" s="5" t="n">
        <v>1</v>
      </c>
      <c r="Q197" s="8">
        <f>IFERROR(G197/L197,0)</f>
        <v/>
      </c>
      <c r="R197" s="8" t="n">
        <v>24160</v>
      </c>
      <c r="S197" s="10">
        <f>IFERROR(R197/G197,0)</f>
        <v/>
      </c>
    </row>
    <row r="198">
      <c r="A198" s="7" t="n">
        <v>46245</v>
      </c>
      <c r="B198" s="5" t="inlineStr">
        <is>
          <t>Aurelia Jewellery</t>
        </is>
      </c>
      <c r="C198" s="5" t="inlineStr">
        <is>
          <t>Luxury / Jewellery</t>
        </is>
      </c>
      <c r="D198" s="5" t="inlineStr">
        <is>
          <t>B2C</t>
        </is>
      </c>
      <c r="E198" s="5" t="inlineStr">
        <is>
          <t>Instagram</t>
        </is>
      </c>
      <c r="F198" s="5" t="inlineStr">
        <is>
          <t>aureliajewellery.example.com</t>
        </is>
      </c>
      <c r="G198" s="8" t="n">
        <v>5709</v>
      </c>
      <c r="H198" s="8" t="n">
        <v>2992</v>
      </c>
      <c r="I198" s="8" t="n">
        <v>51</v>
      </c>
      <c r="J198" s="9">
        <f>I198/H198</f>
        <v/>
      </c>
      <c r="K198" s="8" t="n">
        <v>47</v>
      </c>
      <c r="L198" s="8" t="n">
        <v>1</v>
      </c>
      <c r="M198" s="5" t="inlineStr">
        <is>
          <t>N/A</t>
        </is>
      </c>
      <c r="N198" s="5" t="inlineStr">
        <is>
          <t>N/A</t>
        </is>
      </c>
      <c r="O198" s="8" t="inlineStr">
        <is>
          <t>N/A</t>
        </is>
      </c>
      <c r="P198" s="5" t="n">
        <v>1</v>
      </c>
      <c r="Q198" s="8">
        <f>IFERROR(G198/L198,0)</f>
        <v/>
      </c>
      <c r="R198" s="8" t="n">
        <v>18846</v>
      </c>
      <c r="S198" s="10">
        <f>IFERROR(R198/G198,0)</f>
        <v/>
      </c>
    </row>
    <row r="199">
      <c r="A199" s="7" t="n">
        <v>46246</v>
      </c>
      <c r="B199" s="5" t="inlineStr">
        <is>
          <t>Aurelia Jewellery</t>
        </is>
      </c>
      <c r="C199" s="5" t="inlineStr">
        <is>
          <t>Luxury / Jewellery</t>
        </is>
      </c>
      <c r="D199" s="5" t="inlineStr">
        <is>
          <t>B2C</t>
        </is>
      </c>
      <c r="E199" s="5" t="inlineStr">
        <is>
          <t>Instagram</t>
        </is>
      </c>
      <c r="F199" s="5" t="inlineStr">
        <is>
          <t>aureliajewellery.example.com</t>
        </is>
      </c>
      <c r="G199" s="8" t="n">
        <v>5662</v>
      </c>
      <c r="H199" s="8" t="n">
        <v>3813</v>
      </c>
      <c r="I199" s="8" t="n">
        <v>65</v>
      </c>
      <c r="J199" s="9">
        <f>I199/H199</f>
        <v/>
      </c>
      <c r="K199" s="8" t="n">
        <v>57</v>
      </c>
      <c r="L199" s="8" t="n">
        <v>1</v>
      </c>
      <c r="M199" s="5" t="inlineStr">
        <is>
          <t>N/A</t>
        </is>
      </c>
      <c r="N199" s="5" t="inlineStr">
        <is>
          <t>N/A</t>
        </is>
      </c>
      <c r="O199" s="8" t="inlineStr">
        <is>
          <t>N/A</t>
        </is>
      </c>
      <c r="P199" s="5" t="n">
        <v>1</v>
      </c>
      <c r="Q199" s="8">
        <f>IFERROR(G199/L199,0)</f>
        <v/>
      </c>
      <c r="R199" s="8" t="n">
        <v>24019</v>
      </c>
      <c r="S199" s="10">
        <f>IFERROR(R199/G199,0)</f>
        <v/>
      </c>
    </row>
    <row r="200">
      <c r="A200" s="7" t="n">
        <v>46247</v>
      </c>
      <c r="B200" s="5" t="inlineStr">
        <is>
          <t>Aurelia Jewellery</t>
        </is>
      </c>
      <c r="C200" s="5" t="inlineStr">
        <is>
          <t>Luxury / Jewellery</t>
        </is>
      </c>
      <c r="D200" s="5" t="inlineStr">
        <is>
          <t>B2C</t>
        </is>
      </c>
      <c r="E200" s="5" t="inlineStr">
        <is>
          <t>Instagram</t>
        </is>
      </c>
      <c r="F200" s="5" t="inlineStr">
        <is>
          <t>aureliajewellery.example.com</t>
        </is>
      </c>
      <c r="G200" s="8" t="n">
        <v>5905</v>
      </c>
      <c r="H200" s="8" t="n">
        <v>3675</v>
      </c>
      <c r="I200" s="8" t="n">
        <v>62</v>
      </c>
      <c r="J200" s="9">
        <f>I200/H200</f>
        <v/>
      </c>
      <c r="K200" s="8" t="n">
        <v>60</v>
      </c>
      <c r="L200" s="8" t="n">
        <v>1</v>
      </c>
      <c r="M200" s="5" t="inlineStr">
        <is>
          <t>N/A</t>
        </is>
      </c>
      <c r="N200" s="5" t="inlineStr">
        <is>
          <t>N/A</t>
        </is>
      </c>
      <c r="O200" s="8" t="inlineStr">
        <is>
          <t>N/A</t>
        </is>
      </c>
      <c r="P200" s="5" t="n">
        <v>1</v>
      </c>
      <c r="Q200" s="8">
        <f>IFERROR(G200/L200,0)</f>
        <v/>
      </c>
      <c r="R200" s="8" t="n">
        <v>23145</v>
      </c>
      <c r="S200" s="10">
        <f>IFERROR(R200/G200,0)</f>
        <v/>
      </c>
    </row>
    <row r="201">
      <c r="A201" s="7" t="n">
        <v>46248</v>
      </c>
      <c r="B201" s="5" t="inlineStr">
        <is>
          <t>Aurelia Jewellery</t>
        </is>
      </c>
      <c r="C201" s="5" t="inlineStr">
        <is>
          <t>Luxury / Jewellery</t>
        </is>
      </c>
      <c r="D201" s="5" t="inlineStr">
        <is>
          <t>B2C</t>
        </is>
      </c>
      <c r="E201" s="5" t="inlineStr">
        <is>
          <t>Instagram</t>
        </is>
      </c>
      <c r="F201" s="5" t="inlineStr">
        <is>
          <t>aureliajewellery.example.com</t>
        </is>
      </c>
      <c r="G201" s="8" t="n">
        <v>5916</v>
      </c>
      <c r="H201" s="8" t="n">
        <v>3339</v>
      </c>
      <c r="I201" s="8" t="n">
        <v>57</v>
      </c>
      <c r="J201" s="9">
        <f>I201/H201</f>
        <v/>
      </c>
      <c r="K201" s="8" t="n">
        <v>50</v>
      </c>
      <c r="L201" s="8" t="n">
        <v>1</v>
      </c>
      <c r="M201" s="5" t="inlineStr">
        <is>
          <t>N/A</t>
        </is>
      </c>
      <c r="N201" s="5" t="inlineStr">
        <is>
          <t>N/A</t>
        </is>
      </c>
      <c r="O201" s="8" t="inlineStr">
        <is>
          <t>N/A</t>
        </is>
      </c>
      <c r="P201" s="5" t="n">
        <v>1</v>
      </c>
      <c r="Q201" s="8">
        <f>IFERROR(G201/L201,0)</f>
        <v/>
      </c>
      <c r="R201" s="8" t="n">
        <v>21032</v>
      </c>
      <c r="S201" s="10">
        <f>IFERROR(R201/G201,0)</f>
        <v/>
      </c>
    </row>
    <row r="202">
      <c r="A202" s="7" t="n">
        <v>46249</v>
      </c>
      <c r="B202" s="5" t="inlineStr">
        <is>
          <t>Aurelia Jewellery</t>
        </is>
      </c>
      <c r="C202" s="5" t="inlineStr">
        <is>
          <t>Luxury / Jewellery</t>
        </is>
      </c>
      <c r="D202" s="5" t="inlineStr">
        <is>
          <t>B2C</t>
        </is>
      </c>
      <c r="E202" s="5" t="inlineStr">
        <is>
          <t>Instagram</t>
        </is>
      </c>
      <c r="F202" s="5" t="inlineStr">
        <is>
          <t>aureliajewellery.example.com</t>
        </is>
      </c>
      <c r="G202" s="8" t="n">
        <v>4965</v>
      </c>
      <c r="H202" s="8" t="n">
        <v>3979</v>
      </c>
      <c r="I202" s="8" t="n">
        <v>68</v>
      </c>
      <c r="J202" s="9">
        <f>I202/H202</f>
        <v/>
      </c>
      <c r="K202" s="8" t="n">
        <v>63</v>
      </c>
      <c r="L202" s="8" t="n">
        <v>1</v>
      </c>
      <c r="M202" s="5" t="inlineStr">
        <is>
          <t>N/A</t>
        </is>
      </c>
      <c r="N202" s="5" t="inlineStr">
        <is>
          <t>N/A</t>
        </is>
      </c>
      <c r="O202" s="8" t="inlineStr">
        <is>
          <t>N/A</t>
        </is>
      </c>
      <c r="P202" s="5" t="n">
        <v>1</v>
      </c>
      <c r="Q202" s="8">
        <f>IFERROR(G202/L202,0)</f>
        <v/>
      </c>
      <c r="R202" s="8" t="n">
        <v>25062</v>
      </c>
      <c r="S202" s="10">
        <f>IFERROR(R202/G202,0)</f>
        <v/>
      </c>
    </row>
    <row r="203">
      <c r="A203" s="7" t="n">
        <v>46250</v>
      </c>
      <c r="B203" s="5" t="inlineStr">
        <is>
          <t>Aurelia Jewellery</t>
        </is>
      </c>
      <c r="C203" s="5" t="inlineStr">
        <is>
          <t>Luxury / Jewellery</t>
        </is>
      </c>
      <c r="D203" s="5" t="inlineStr">
        <is>
          <t>B2C</t>
        </is>
      </c>
      <c r="E203" s="5" t="inlineStr">
        <is>
          <t>Instagram</t>
        </is>
      </c>
      <c r="F203" s="5" t="inlineStr">
        <is>
          <t>aureliajewellery.example.com</t>
        </is>
      </c>
      <c r="G203" s="8" t="n">
        <v>4719</v>
      </c>
      <c r="H203" s="8" t="n">
        <v>3800</v>
      </c>
      <c r="I203" s="8" t="n">
        <v>65</v>
      </c>
      <c r="J203" s="9">
        <f>I203/H203</f>
        <v/>
      </c>
      <c r="K203" s="8" t="n">
        <v>60</v>
      </c>
      <c r="L203" s="8" t="n">
        <v>1</v>
      </c>
      <c r="M203" s="5" t="inlineStr">
        <is>
          <t>N/A</t>
        </is>
      </c>
      <c r="N203" s="5" t="inlineStr">
        <is>
          <t>N/A</t>
        </is>
      </c>
      <c r="O203" s="8" t="inlineStr">
        <is>
          <t>N/A</t>
        </is>
      </c>
      <c r="P203" s="5" t="n">
        <v>1</v>
      </c>
      <c r="Q203" s="8">
        <f>IFERROR(G203/L203,0)</f>
        <v/>
      </c>
      <c r="R203" s="8" t="n">
        <v>23932</v>
      </c>
      <c r="S203" s="10">
        <f>IFERROR(R203/G203,0)</f>
        <v/>
      </c>
    </row>
    <row r="204">
      <c r="A204" s="7" t="n">
        <v>46251</v>
      </c>
      <c r="B204" s="5" t="inlineStr">
        <is>
          <t>Aurelia Jewellery</t>
        </is>
      </c>
      <c r="C204" s="5" t="inlineStr">
        <is>
          <t>Luxury / Jewellery</t>
        </is>
      </c>
      <c r="D204" s="5" t="inlineStr">
        <is>
          <t>B2C</t>
        </is>
      </c>
      <c r="E204" s="5" t="inlineStr">
        <is>
          <t>Instagram</t>
        </is>
      </c>
      <c r="F204" s="5" t="inlineStr">
        <is>
          <t>aureliajewellery.example.com</t>
        </is>
      </c>
      <c r="G204" s="8" t="n">
        <v>5993</v>
      </c>
      <c r="H204" s="8" t="n">
        <v>4648</v>
      </c>
      <c r="I204" s="8" t="n">
        <v>79</v>
      </c>
      <c r="J204" s="9">
        <f>I204/H204</f>
        <v/>
      </c>
      <c r="K204" s="8" t="n">
        <v>71</v>
      </c>
      <c r="L204" s="8" t="n">
        <v>1</v>
      </c>
      <c r="M204" s="5" t="inlineStr">
        <is>
          <t>N/A</t>
        </is>
      </c>
      <c r="N204" s="5" t="inlineStr">
        <is>
          <t>N/A</t>
        </is>
      </c>
      <c r="O204" s="8" t="inlineStr">
        <is>
          <t>N/A</t>
        </is>
      </c>
      <c r="P204" s="5" t="n">
        <v>1</v>
      </c>
      <c r="Q204" s="8">
        <f>IFERROR(G204/L204,0)</f>
        <v/>
      </c>
      <c r="R204" s="8" t="n">
        <v>29275</v>
      </c>
      <c r="S204" s="10">
        <f>IFERROR(R204/G204,0)</f>
        <v/>
      </c>
    </row>
    <row r="205">
      <c r="A205" s="7" t="n">
        <v>46252</v>
      </c>
      <c r="B205" s="5" t="inlineStr">
        <is>
          <t>Aurelia Jewellery</t>
        </is>
      </c>
      <c r="C205" s="5" t="inlineStr">
        <is>
          <t>Luxury / Jewellery</t>
        </is>
      </c>
      <c r="D205" s="5" t="inlineStr">
        <is>
          <t>B2C</t>
        </is>
      </c>
      <c r="E205" s="5" t="inlineStr">
        <is>
          <t>Instagram</t>
        </is>
      </c>
      <c r="F205" s="5" t="inlineStr">
        <is>
          <t>aureliajewellery.example.com</t>
        </is>
      </c>
      <c r="G205" s="8" t="n">
        <v>6066</v>
      </c>
      <c r="H205" s="8" t="n">
        <v>4169</v>
      </c>
      <c r="I205" s="8" t="n">
        <v>71</v>
      </c>
      <c r="J205" s="9">
        <f>I205/H205</f>
        <v/>
      </c>
      <c r="K205" s="8" t="n">
        <v>66</v>
      </c>
      <c r="L205" s="8" t="n">
        <v>1</v>
      </c>
      <c r="M205" s="5" t="inlineStr">
        <is>
          <t>N/A</t>
        </is>
      </c>
      <c r="N205" s="5" t="inlineStr">
        <is>
          <t>N/A</t>
        </is>
      </c>
      <c r="O205" s="8" t="inlineStr">
        <is>
          <t>N/A</t>
        </is>
      </c>
      <c r="P205" s="5" t="n">
        <v>1</v>
      </c>
      <c r="Q205" s="8">
        <f>IFERROR(G205/L205,0)</f>
        <v/>
      </c>
      <c r="R205" s="8" t="n">
        <v>26256</v>
      </c>
      <c r="S205" s="10">
        <f>IFERROR(R205/G205,0)</f>
        <v/>
      </c>
    </row>
    <row r="206">
      <c r="A206" s="7" t="n">
        <v>46253</v>
      </c>
      <c r="B206" s="5" t="inlineStr">
        <is>
          <t>Aurelia Jewellery</t>
        </is>
      </c>
      <c r="C206" s="5" t="inlineStr">
        <is>
          <t>Luxury / Jewellery</t>
        </is>
      </c>
      <c r="D206" s="5" t="inlineStr">
        <is>
          <t>B2C</t>
        </is>
      </c>
      <c r="E206" s="5" t="inlineStr">
        <is>
          <t>Instagram</t>
        </is>
      </c>
      <c r="F206" s="5" t="inlineStr">
        <is>
          <t>aureliajewellery.example.com</t>
        </is>
      </c>
      <c r="G206" s="8" t="n">
        <v>5200</v>
      </c>
      <c r="H206" s="8" t="n">
        <v>4029</v>
      </c>
      <c r="I206" s="8" t="n">
        <v>69</v>
      </c>
      <c r="J206" s="9">
        <f>I206/H206</f>
        <v/>
      </c>
      <c r="K206" s="8" t="n">
        <v>65</v>
      </c>
      <c r="L206" s="8" t="n">
        <v>1</v>
      </c>
      <c r="M206" s="5" t="inlineStr">
        <is>
          <t>N/A</t>
        </is>
      </c>
      <c r="N206" s="5" t="inlineStr">
        <is>
          <t>N/A</t>
        </is>
      </c>
      <c r="O206" s="8" t="inlineStr">
        <is>
          <t>N/A</t>
        </is>
      </c>
      <c r="P206" s="5" t="n">
        <v>1</v>
      </c>
      <c r="Q206" s="8">
        <f>IFERROR(G206/L206,0)</f>
        <v/>
      </c>
      <c r="R206" s="8" t="n">
        <v>25379</v>
      </c>
      <c r="S206" s="10">
        <f>IFERROR(R206/G206,0)</f>
        <v/>
      </c>
    </row>
    <row r="207">
      <c r="A207" s="7" t="n">
        <v>46254</v>
      </c>
      <c r="B207" s="5" t="inlineStr">
        <is>
          <t>Aurelia Jewellery</t>
        </is>
      </c>
      <c r="C207" s="5" t="inlineStr">
        <is>
          <t>Luxury / Jewellery</t>
        </is>
      </c>
      <c r="D207" s="5" t="inlineStr">
        <is>
          <t>B2C</t>
        </is>
      </c>
      <c r="E207" s="5" t="inlineStr">
        <is>
          <t>Instagram</t>
        </is>
      </c>
      <c r="F207" s="5" t="inlineStr">
        <is>
          <t>aureliajewellery.example.com</t>
        </is>
      </c>
      <c r="G207" s="8" t="n">
        <v>4871</v>
      </c>
      <c r="H207" s="8" t="n">
        <v>3253</v>
      </c>
      <c r="I207" s="8" t="n">
        <v>55</v>
      </c>
      <c r="J207" s="9">
        <f>I207/H207</f>
        <v/>
      </c>
      <c r="K207" s="8" t="n">
        <v>51</v>
      </c>
      <c r="L207" s="8" t="n">
        <v>1</v>
      </c>
      <c r="M207" s="5" t="inlineStr">
        <is>
          <t>N/A</t>
        </is>
      </c>
      <c r="N207" s="5" t="inlineStr">
        <is>
          <t>N/A</t>
        </is>
      </c>
      <c r="O207" s="8" t="inlineStr">
        <is>
          <t>N/A</t>
        </is>
      </c>
      <c r="P207" s="5" t="n">
        <v>1</v>
      </c>
      <c r="Q207" s="8">
        <f>IFERROR(G207/L207,0)</f>
        <v/>
      </c>
      <c r="R207" s="8" t="n">
        <v>20488</v>
      </c>
      <c r="S207" s="10">
        <f>IFERROR(R207/G207,0)</f>
        <v/>
      </c>
    </row>
    <row r="208">
      <c r="A208" s="7" t="n">
        <v>46255</v>
      </c>
      <c r="B208" s="5" t="inlineStr">
        <is>
          <t>Aurelia Jewellery</t>
        </is>
      </c>
      <c r="C208" s="5" t="inlineStr">
        <is>
          <t>Luxury / Jewellery</t>
        </is>
      </c>
      <c r="D208" s="5" t="inlineStr">
        <is>
          <t>B2C</t>
        </is>
      </c>
      <c r="E208" s="5" t="inlineStr">
        <is>
          <t>Instagram</t>
        </is>
      </c>
      <c r="F208" s="5" t="inlineStr">
        <is>
          <t>aureliajewellery.example.com</t>
        </is>
      </c>
      <c r="G208" s="8" t="n">
        <v>5639</v>
      </c>
      <c r="H208" s="8" t="n">
        <v>3852</v>
      </c>
      <c r="I208" s="8" t="n">
        <v>65</v>
      </c>
      <c r="J208" s="9">
        <f>I208/H208</f>
        <v/>
      </c>
      <c r="K208" s="8" t="n">
        <v>62</v>
      </c>
      <c r="L208" s="8" t="n">
        <v>1</v>
      </c>
      <c r="M208" s="5" t="inlineStr">
        <is>
          <t>N/A</t>
        </is>
      </c>
      <c r="N208" s="5" t="inlineStr">
        <is>
          <t>N/A</t>
        </is>
      </c>
      <c r="O208" s="8" t="inlineStr">
        <is>
          <t>N/A</t>
        </is>
      </c>
      <c r="P208" s="5" t="n">
        <v>1</v>
      </c>
      <c r="Q208" s="8">
        <f>IFERROR(G208/L208,0)</f>
        <v/>
      </c>
      <c r="R208" s="8" t="n">
        <v>24259</v>
      </c>
      <c r="S208" s="10">
        <f>IFERROR(R208/G208,0)</f>
        <v/>
      </c>
    </row>
    <row r="209">
      <c r="A209" s="7" t="n">
        <v>46256</v>
      </c>
      <c r="B209" s="5" t="inlineStr">
        <is>
          <t>Aurelia Jewellery</t>
        </is>
      </c>
      <c r="C209" s="5" t="inlineStr">
        <is>
          <t>Luxury / Jewellery</t>
        </is>
      </c>
      <c r="D209" s="5" t="inlineStr">
        <is>
          <t>B2C</t>
        </is>
      </c>
      <c r="E209" s="5" t="inlineStr">
        <is>
          <t>Instagram</t>
        </is>
      </c>
      <c r="F209" s="5" t="inlineStr">
        <is>
          <t>aureliajewellery.example.com</t>
        </is>
      </c>
      <c r="G209" s="8" t="n">
        <v>5965</v>
      </c>
      <c r="H209" s="8" t="n">
        <v>3456</v>
      </c>
      <c r="I209" s="8" t="n">
        <v>59</v>
      </c>
      <c r="J209" s="9">
        <f>I209/H209</f>
        <v/>
      </c>
      <c r="K209" s="8" t="n">
        <v>57</v>
      </c>
      <c r="L209" s="8" t="n">
        <v>1</v>
      </c>
      <c r="M209" s="5" t="inlineStr">
        <is>
          <t>N/A</t>
        </is>
      </c>
      <c r="N209" s="5" t="inlineStr">
        <is>
          <t>N/A</t>
        </is>
      </c>
      <c r="O209" s="8" t="inlineStr">
        <is>
          <t>N/A</t>
        </is>
      </c>
      <c r="P209" s="5" t="n">
        <v>1</v>
      </c>
      <c r="Q209" s="8">
        <f>IFERROR(G209/L209,0)</f>
        <v/>
      </c>
      <c r="R209" s="8" t="n">
        <v>21765</v>
      </c>
      <c r="S209" s="10">
        <f>IFERROR(R209/G209,0)</f>
        <v/>
      </c>
    </row>
    <row r="210">
      <c r="A210" s="7" t="n">
        <v>46257</v>
      </c>
      <c r="B210" s="5" t="inlineStr">
        <is>
          <t>Aurelia Jewellery</t>
        </is>
      </c>
      <c r="C210" s="5" t="inlineStr">
        <is>
          <t>Luxury / Jewellery</t>
        </is>
      </c>
      <c r="D210" s="5" t="inlineStr">
        <is>
          <t>B2C</t>
        </is>
      </c>
      <c r="E210" s="5" t="inlineStr">
        <is>
          <t>Instagram</t>
        </is>
      </c>
      <c r="F210" s="5" t="inlineStr">
        <is>
          <t>aureliajewellery.example.com</t>
        </is>
      </c>
      <c r="G210" s="8" t="n">
        <v>6305</v>
      </c>
      <c r="H210" s="8" t="n">
        <v>4404</v>
      </c>
      <c r="I210" s="8" t="n">
        <v>75</v>
      </c>
      <c r="J210" s="9">
        <f>I210/H210</f>
        <v/>
      </c>
      <c r="K210" s="8" t="n">
        <v>68</v>
      </c>
      <c r="L210" s="8" t="n">
        <v>1</v>
      </c>
      <c r="M210" s="5" t="inlineStr">
        <is>
          <t>N/A</t>
        </is>
      </c>
      <c r="N210" s="5" t="inlineStr">
        <is>
          <t>N/A</t>
        </is>
      </c>
      <c r="O210" s="8" t="inlineStr">
        <is>
          <t>N/A</t>
        </is>
      </c>
      <c r="P210" s="5" t="n">
        <v>1</v>
      </c>
      <c r="Q210" s="8">
        <f>IFERROR(G210/L210,0)</f>
        <v/>
      </c>
      <c r="R210" s="8" t="n">
        <v>27741</v>
      </c>
      <c r="S210" s="10">
        <f>IFERROR(R210/G210,0)</f>
        <v/>
      </c>
    </row>
    <row r="211">
      <c r="A211" s="7" t="n">
        <v>46258</v>
      </c>
      <c r="B211" s="5" t="inlineStr">
        <is>
          <t>Aurelia Jewellery</t>
        </is>
      </c>
      <c r="C211" s="5" t="inlineStr">
        <is>
          <t>Luxury / Jewellery</t>
        </is>
      </c>
      <c r="D211" s="5" t="inlineStr">
        <is>
          <t>B2C</t>
        </is>
      </c>
      <c r="E211" s="5" t="inlineStr">
        <is>
          <t>Instagram</t>
        </is>
      </c>
      <c r="F211" s="5" t="inlineStr">
        <is>
          <t>aureliajewellery.example.com</t>
        </is>
      </c>
      <c r="G211" s="8" t="n">
        <v>5802</v>
      </c>
      <c r="H211" s="8" t="n">
        <v>3897</v>
      </c>
      <c r="I211" s="8" t="n">
        <v>66</v>
      </c>
      <c r="J211" s="9">
        <f>I211/H211</f>
        <v/>
      </c>
      <c r="K211" s="8" t="n">
        <v>61</v>
      </c>
      <c r="L211" s="8" t="n">
        <v>1</v>
      </c>
      <c r="M211" s="5" t="inlineStr">
        <is>
          <t>N/A</t>
        </is>
      </c>
      <c r="N211" s="5" t="inlineStr">
        <is>
          <t>N/A</t>
        </is>
      </c>
      <c r="O211" s="8" t="inlineStr">
        <is>
          <t>N/A</t>
        </is>
      </c>
      <c r="P211" s="5" t="n">
        <v>1</v>
      </c>
      <c r="Q211" s="8">
        <f>IFERROR(G211/L211,0)</f>
        <v/>
      </c>
      <c r="R211" s="8" t="n">
        <v>24547</v>
      </c>
      <c r="S211" s="10">
        <f>IFERROR(R211/G211,0)</f>
        <v/>
      </c>
    </row>
    <row r="212">
      <c r="A212" s="7" t="n">
        <v>46259</v>
      </c>
      <c r="B212" s="5" t="inlineStr">
        <is>
          <t>Aurelia Jewellery</t>
        </is>
      </c>
      <c r="C212" s="5" t="inlineStr">
        <is>
          <t>Luxury / Jewellery</t>
        </is>
      </c>
      <c r="D212" s="5" t="inlineStr">
        <is>
          <t>B2C</t>
        </is>
      </c>
      <c r="E212" s="5" t="inlineStr">
        <is>
          <t>Instagram</t>
        </is>
      </c>
      <c r="F212" s="5" t="inlineStr">
        <is>
          <t>aureliajewellery.example.com</t>
        </is>
      </c>
      <c r="G212" s="8" t="n">
        <v>5454</v>
      </c>
      <c r="H212" s="8" t="n">
        <v>3069</v>
      </c>
      <c r="I212" s="8" t="n">
        <v>52</v>
      </c>
      <c r="J212" s="9">
        <f>I212/H212</f>
        <v/>
      </c>
      <c r="K212" s="8" t="n">
        <v>44</v>
      </c>
      <c r="L212" s="8" t="n">
        <v>1</v>
      </c>
      <c r="M212" s="5" t="inlineStr">
        <is>
          <t>N/A</t>
        </is>
      </c>
      <c r="N212" s="5" t="inlineStr">
        <is>
          <t>N/A</t>
        </is>
      </c>
      <c r="O212" s="8" t="inlineStr">
        <is>
          <t>N/A</t>
        </is>
      </c>
      <c r="P212" s="5" t="n">
        <v>1</v>
      </c>
      <c r="Q212" s="8">
        <f>IFERROR(G212/L212,0)</f>
        <v/>
      </c>
      <c r="R212" s="8" t="n">
        <v>19327</v>
      </c>
      <c r="S212" s="10">
        <f>IFERROR(R212/G212,0)</f>
        <v/>
      </c>
    </row>
    <row r="213">
      <c r="A213" s="7" t="n">
        <v>46260</v>
      </c>
      <c r="B213" s="5" t="inlineStr">
        <is>
          <t>Aurelia Jewellery</t>
        </is>
      </c>
      <c r="C213" s="5" t="inlineStr">
        <is>
          <t>Luxury / Jewellery</t>
        </is>
      </c>
      <c r="D213" s="5" t="inlineStr">
        <is>
          <t>B2C</t>
        </is>
      </c>
      <c r="E213" s="5" t="inlineStr">
        <is>
          <t>Instagram</t>
        </is>
      </c>
      <c r="F213" s="5" t="inlineStr">
        <is>
          <t>aureliajewellery.example.com</t>
        </is>
      </c>
      <c r="G213" s="8" t="n">
        <v>5250</v>
      </c>
      <c r="H213" s="8" t="n">
        <v>3479</v>
      </c>
      <c r="I213" s="8" t="n">
        <v>59</v>
      </c>
      <c r="J213" s="9">
        <f>I213/H213</f>
        <v/>
      </c>
      <c r="K213" s="8" t="n">
        <v>56</v>
      </c>
      <c r="L213" s="8" t="n">
        <v>1</v>
      </c>
      <c r="M213" s="5" t="inlineStr">
        <is>
          <t>N/A</t>
        </is>
      </c>
      <c r="N213" s="5" t="inlineStr">
        <is>
          <t>N/A</t>
        </is>
      </c>
      <c r="O213" s="8" t="inlineStr">
        <is>
          <t>N/A</t>
        </is>
      </c>
      <c r="P213" s="5" t="n">
        <v>1</v>
      </c>
      <c r="Q213" s="8">
        <f>IFERROR(G213/L213,0)</f>
        <v/>
      </c>
      <c r="R213" s="8" t="n">
        <v>21914</v>
      </c>
      <c r="S213" s="10">
        <f>IFERROR(R213/G213,0)</f>
        <v/>
      </c>
    </row>
    <row r="214">
      <c r="A214" s="7" t="n">
        <v>46261</v>
      </c>
      <c r="B214" s="5" t="inlineStr">
        <is>
          <t>Aurelia Jewellery</t>
        </is>
      </c>
      <c r="C214" s="5" t="inlineStr">
        <is>
          <t>Luxury / Jewellery</t>
        </is>
      </c>
      <c r="D214" s="5" t="inlineStr">
        <is>
          <t>B2C</t>
        </is>
      </c>
      <c r="E214" s="5" t="inlineStr">
        <is>
          <t>Instagram</t>
        </is>
      </c>
      <c r="F214" s="5" t="inlineStr">
        <is>
          <t>aureliajewellery.example.com</t>
        </is>
      </c>
      <c r="G214" s="8" t="n">
        <v>5604</v>
      </c>
      <c r="H214" s="8" t="n">
        <v>3701</v>
      </c>
      <c r="I214" s="8" t="n">
        <v>63</v>
      </c>
      <c r="J214" s="9">
        <f>I214/H214</f>
        <v/>
      </c>
      <c r="K214" s="8" t="n">
        <v>58</v>
      </c>
      <c r="L214" s="8" t="n">
        <v>1</v>
      </c>
      <c r="M214" s="5" t="inlineStr">
        <is>
          <t>N/A</t>
        </is>
      </c>
      <c r="N214" s="5" t="inlineStr">
        <is>
          <t>N/A</t>
        </is>
      </c>
      <c r="O214" s="8" t="inlineStr">
        <is>
          <t>N/A</t>
        </is>
      </c>
      <c r="P214" s="5" t="n">
        <v>1</v>
      </c>
      <c r="Q214" s="8">
        <f>IFERROR(G214/L214,0)</f>
        <v/>
      </c>
      <c r="R214" s="8" t="n">
        <v>23314</v>
      </c>
      <c r="S214" s="10">
        <f>IFERROR(R214/G214,0)</f>
        <v/>
      </c>
    </row>
    <row r="215">
      <c r="A215" s="7" t="n">
        <v>46262</v>
      </c>
      <c r="B215" s="5" t="inlineStr">
        <is>
          <t>Aurelia Jewellery</t>
        </is>
      </c>
      <c r="C215" s="5" t="inlineStr">
        <is>
          <t>Luxury / Jewellery</t>
        </is>
      </c>
      <c r="D215" s="5" t="inlineStr">
        <is>
          <t>B2C</t>
        </is>
      </c>
      <c r="E215" s="5" t="inlineStr">
        <is>
          <t>Instagram</t>
        </is>
      </c>
      <c r="F215" s="5" t="inlineStr">
        <is>
          <t>aureliajewellery.example.com</t>
        </is>
      </c>
      <c r="G215" s="8" t="n">
        <v>5483</v>
      </c>
      <c r="H215" s="8" t="n">
        <v>4445</v>
      </c>
      <c r="I215" s="8" t="n">
        <v>76</v>
      </c>
      <c r="J215" s="9">
        <f>I215/H215</f>
        <v/>
      </c>
      <c r="K215" s="8" t="n">
        <v>68</v>
      </c>
      <c r="L215" s="8" t="n">
        <v>1</v>
      </c>
      <c r="M215" s="5" t="inlineStr">
        <is>
          <t>N/A</t>
        </is>
      </c>
      <c r="N215" s="5" t="inlineStr">
        <is>
          <t>N/A</t>
        </is>
      </c>
      <c r="O215" s="8" t="inlineStr">
        <is>
          <t>N/A</t>
        </is>
      </c>
      <c r="P215" s="5" t="n">
        <v>1</v>
      </c>
      <c r="Q215" s="8">
        <f>IFERROR(G215/L215,0)</f>
        <v/>
      </c>
      <c r="R215" s="8" t="n">
        <v>27994</v>
      </c>
      <c r="S215" s="10">
        <f>IFERROR(R215/G215,0)</f>
        <v/>
      </c>
    </row>
    <row r="216">
      <c r="A216" s="7" t="n">
        <v>46263</v>
      </c>
      <c r="B216" s="5" t="inlineStr">
        <is>
          <t>Aurelia Jewellery</t>
        </is>
      </c>
      <c r="C216" s="5" t="inlineStr">
        <is>
          <t>Luxury / Jewellery</t>
        </is>
      </c>
      <c r="D216" s="5" t="inlineStr">
        <is>
          <t>B2C</t>
        </is>
      </c>
      <c r="E216" s="5" t="inlineStr">
        <is>
          <t>Instagram</t>
        </is>
      </c>
      <c r="F216" s="5" t="inlineStr">
        <is>
          <t>aureliajewellery.example.com</t>
        </is>
      </c>
      <c r="G216" s="8" t="n">
        <v>5202</v>
      </c>
      <c r="H216" s="8" t="n">
        <v>3841</v>
      </c>
      <c r="I216" s="8" t="n">
        <v>65</v>
      </c>
      <c r="J216" s="9">
        <f>I216/H216</f>
        <v/>
      </c>
      <c r="K216" s="8" t="n">
        <v>56</v>
      </c>
      <c r="L216" s="8" t="n">
        <v>1</v>
      </c>
      <c r="M216" s="5" t="inlineStr">
        <is>
          <t>N/A</t>
        </is>
      </c>
      <c r="N216" s="5" t="inlineStr">
        <is>
          <t>N/A</t>
        </is>
      </c>
      <c r="O216" s="8" t="inlineStr">
        <is>
          <t>N/A</t>
        </is>
      </c>
      <c r="P216" s="5" t="n">
        <v>1</v>
      </c>
      <c r="Q216" s="8">
        <f>IFERROR(G216/L216,0)</f>
        <v/>
      </c>
      <c r="R216" s="8" t="n">
        <v>24193</v>
      </c>
      <c r="S216" s="10">
        <f>IFERROR(R216/G216,0)</f>
        <v/>
      </c>
    </row>
    <row r="217">
      <c r="A217" s="7" t="n">
        <v>46264</v>
      </c>
      <c r="B217" s="5" t="inlineStr">
        <is>
          <t>Aurelia Jewellery</t>
        </is>
      </c>
      <c r="C217" s="5" t="inlineStr">
        <is>
          <t>Luxury / Jewellery</t>
        </is>
      </c>
      <c r="D217" s="5" t="inlineStr">
        <is>
          <t>B2C</t>
        </is>
      </c>
      <c r="E217" s="5" t="inlineStr">
        <is>
          <t>Instagram</t>
        </is>
      </c>
      <c r="F217" s="5" t="inlineStr">
        <is>
          <t>aureliajewellery.example.com</t>
        </is>
      </c>
      <c r="G217" s="8" t="n">
        <v>6403</v>
      </c>
      <c r="H217" s="8" t="n">
        <v>4276</v>
      </c>
      <c r="I217" s="8" t="n">
        <v>73</v>
      </c>
      <c r="J217" s="9">
        <f>I217/H217</f>
        <v/>
      </c>
      <c r="K217" s="8" t="n">
        <v>70</v>
      </c>
      <c r="L217" s="8" t="n">
        <v>1</v>
      </c>
      <c r="M217" s="5" t="inlineStr">
        <is>
          <t>N/A</t>
        </is>
      </c>
      <c r="N217" s="5" t="inlineStr">
        <is>
          <t>N/A</t>
        </is>
      </c>
      <c r="O217" s="8" t="inlineStr">
        <is>
          <t>N/A</t>
        </is>
      </c>
      <c r="P217" s="5" t="n">
        <v>1</v>
      </c>
      <c r="Q217" s="8">
        <f>IFERROR(G217/L217,0)</f>
        <v/>
      </c>
      <c r="R217" s="8" t="n">
        <v>26930</v>
      </c>
      <c r="S217" s="10">
        <f>IFERROR(R217/G217,0)</f>
        <v/>
      </c>
    </row>
    <row r="218">
      <c r="A218" s="7" t="n">
        <v>46265</v>
      </c>
      <c r="B218" s="5" t="inlineStr">
        <is>
          <t>Aurelia Jewellery</t>
        </is>
      </c>
      <c r="C218" s="5" t="inlineStr">
        <is>
          <t>Luxury / Jewellery</t>
        </is>
      </c>
      <c r="D218" s="5" t="inlineStr">
        <is>
          <t>B2C</t>
        </is>
      </c>
      <c r="E218" s="5" t="inlineStr">
        <is>
          <t>Instagram</t>
        </is>
      </c>
      <c r="F218" s="5" t="inlineStr">
        <is>
          <t>aureliajewellery.example.com</t>
        </is>
      </c>
      <c r="G218" s="8" t="n">
        <v>6300</v>
      </c>
      <c r="H218" s="8" t="n">
        <v>4326</v>
      </c>
      <c r="I218" s="8" t="n">
        <v>74</v>
      </c>
      <c r="J218" s="9">
        <f>I218/H218</f>
        <v/>
      </c>
      <c r="K218" s="8" t="n">
        <v>66</v>
      </c>
      <c r="L218" s="8" t="n">
        <v>1</v>
      </c>
      <c r="M218" s="5" t="inlineStr">
        <is>
          <t>N/A</t>
        </is>
      </c>
      <c r="N218" s="5" t="inlineStr">
        <is>
          <t>N/A</t>
        </is>
      </c>
      <c r="O218" s="8" t="inlineStr">
        <is>
          <t>N/A</t>
        </is>
      </c>
      <c r="P218" s="5" t="n">
        <v>1</v>
      </c>
      <c r="Q218" s="8">
        <f>IFERROR(G218/L218,0)</f>
        <v/>
      </c>
      <c r="R218" s="8" t="n">
        <v>27249</v>
      </c>
      <c r="S218" s="10">
        <f>IFERROR(R218/G218,0)</f>
        <v/>
      </c>
    </row>
    <row r="219">
      <c r="A219" s="7" t="n">
        <v>46235</v>
      </c>
      <c r="B219" s="5" t="inlineStr">
        <is>
          <t>Aurelia Jewellery</t>
        </is>
      </c>
      <c r="C219" s="5" t="inlineStr">
        <is>
          <t>Luxury / Jewellery</t>
        </is>
      </c>
      <c r="D219" s="5" t="inlineStr">
        <is>
          <t>B2C</t>
        </is>
      </c>
      <c r="E219" s="5" t="inlineStr">
        <is>
          <t>Pinterest</t>
        </is>
      </c>
      <c r="F219" s="5" t="inlineStr">
        <is>
          <t>aureliajewellery.example.com</t>
        </is>
      </c>
      <c r="G219" s="8" t="n">
        <v>2950</v>
      </c>
      <c r="H219" s="8" t="n">
        <v>1846</v>
      </c>
      <c r="I219" s="8" t="n">
        <v>24</v>
      </c>
      <c r="J219" s="9">
        <f>I219/H219</f>
        <v/>
      </c>
      <c r="K219" s="8" t="n">
        <v>23</v>
      </c>
      <c r="L219" s="8" t="n">
        <v>0</v>
      </c>
      <c r="M219" s="5" t="inlineStr">
        <is>
          <t>N/A</t>
        </is>
      </c>
      <c r="N219" s="5" t="inlineStr">
        <is>
          <t>N/A</t>
        </is>
      </c>
      <c r="O219" s="8" t="inlineStr">
        <is>
          <t>N/A</t>
        </is>
      </c>
      <c r="P219" s="5" t="n">
        <v>0</v>
      </c>
      <c r="Q219" s="8">
        <f>IFERROR(G219/L219,0)</f>
        <v/>
      </c>
      <c r="R219" s="8" t="n">
        <v>10257</v>
      </c>
      <c r="S219" s="10">
        <f>IFERROR(R219/G219,0)</f>
        <v/>
      </c>
    </row>
    <row r="220">
      <c r="A220" s="7" t="n">
        <v>46236</v>
      </c>
      <c r="B220" s="5" t="inlineStr">
        <is>
          <t>Aurelia Jewellery</t>
        </is>
      </c>
      <c r="C220" s="5" t="inlineStr">
        <is>
          <t>Luxury / Jewellery</t>
        </is>
      </c>
      <c r="D220" s="5" t="inlineStr">
        <is>
          <t>B2C</t>
        </is>
      </c>
      <c r="E220" s="5" t="inlineStr">
        <is>
          <t>Pinterest</t>
        </is>
      </c>
      <c r="F220" s="5" t="inlineStr">
        <is>
          <t>aureliajewellery.example.com</t>
        </is>
      </c>
      <c r="G220" s="8" t="n">
        <v>2955</v>
      </c>
      <c r="H220" s="8" t="n">
        <v>2256</v>
      </c>
      <c r="I220" s="8" t="n">
        <v>29</v>
      </c>
      <c r="J220" s="9">
        <f>I220/H220</f>
        <v/>
      </c>
      <c r="K220" s="8" t="n">
        <v>28</v>
      </c>
      <c r="L220" s="8" t="n">
        <v>0</v>
      </c>
      <c r="M220" s="5" t="inlineStr">
        <is>
          <t>N/A</t>
        </is>
      </c>
      <c r="N220" s="5" t="inlineStr">
        <is>
          <t>N/A</t>
        </is>
      </c>
      <c r="O220" s="8" t="inlineStr">
        <is>
          <t>N/A</t>
        </is>
      </c>
      <c r="P220" s="5" t="n">
        <v>0</v>
      </c>
      <c r="Q220" s="8">
        <f>IFERROR(G220/L220,0)</f>
        <v/>
      </c>
      <c r="R220" s="8" t="n">
        <v>12537</v>
      </c>
      <c r="S220" s="10">
        <f>IFERROR(R220/G220,0)</f>
        <v/>
      </c>
    </row>
    <row r="221">
      <c r="A221" s="7" t="n">
        <v>46237</v>
      </c>
      <c r="B221" s="5" t="inlineStr">
        <is>
          <t>Aurelia Jewellery</t>
        </is>
      </c>
      <c r="C221" s="5" t="inlineStr">
        <is>
          <t>Luxury / Jewellery</t>
        </is>
      </c>
      <c r="D221" s="5" t="inlineStr">
        <is>
          <t>B2C</t>
        </is>
      </c>
      <c r="E221" s="5" t="inlineStr">
        <is>
          <t>Pinterest</t>
        </is>
      </c>
      <c r="F221" s="5" t="inlineStr">
        <is>
          <t>aureliajewellery.example.com</t>
        </is>
      </c>
      <c r="G221" s="8" t="n">
        <v>2669</v>
      </c>
      <c r="H221" s="8" t="n">
        <v>1746</v>
      </c>
      <c r="I221" s="8" t="n">
        <v>23</v>
      </c>
      <c r="J221" s="9">
        <f>I221/H221</f>
        <v/>
      </c>
      <c r="K221" s="8" t="n">
        <v>22</v>
      </c>
      <c r="L221" s="8" t="n">
        <v>0</v>
      </c>
      <c r="M221" s="5" t="inlineStr">
        <is>
          <t>N/A</t>
        </is>
      </c>
      <c r="N221" s="5" t="inlineStr">
        <is>
          <t>N/A</t>
        </is>
      </c>
      <c r="O221" s="8" t="inlineStr">
        <is>
          <t>N/A</t>
        </is>
      </c>
      <c r="P221" s="5" t="n">
        <v>0</v>
      </c>
      <c r="Q221" s="8">
        <f>IFERROR(G221/L221,0)</f>
        <v/>
      </c>
      <c r="R221" s="8" t="n">
        <v>9701</v>
      </c>
      <c r="S221" s="10">
        <f>IFERROR(R221/G221,0)</f>
        <v/>
      </c>
    </row>
    <row r="222">
      <c r="A222" s="7" t="n">
        <v>46238</v>
      </c>
      <c r="B222" s="5" t="inlineStr">
        <is>
          <t>Aurelia Jewellery</t>
        </is>
      </c>
      <c r="C222" s="5" t="inlineStr">
        <is>
          <t>Luxury / Jewellery</t>
        </is>
      </c>
      <c r="D222" s="5" t="inlineStr">
        <is>
          <t>B2C</t>
        </is>
      </c>
      <c r="E222" s="5" t="inlineStr">
        <is>
          <t>Pinterest</t>
        </is>
      </c>
      <c r="F222" s="5" t="inlineStr">
        <is>
          <t>aureliajewellery.example.com</t>
        </is>
      </c>
      <c r="G222" s="8" t="n">
        <v>2802</v>
      </c>
      <c r="H222" s="8" t="n">
        <v>1803</v>
      </c>
      <c r="I222" s="8" t="n">
        <v>23</v>
      </c>
      <c r="J222" s="9">
        <f>I222/H222</f>
        <v/>
      </c>
      <c r="K222" s="8" t="n">
        <v>23</v>
      </c>
      <c r="L222" s="8" t="n">
        <v>0</v>
      </c>
      <c r="M222" s="5" t="inlineStr">
        <is>
          <t>N/A</t>
        </is>
      </c>
      <c r="N222" s="5" t="inlineStr">
        <is>
          <t>N/A</t>
        </is>
      </c>
      <c r="O222" s="8" t="inlineStr">
        <is>
          <t>N/A</t>
        </is>
      </c>
      <c r="P222" s="5" t="n">
        <v>0</v>
      </c>
      <c r="Q222" s="8">
        <f>IFERROR(G222/L222,0)</f>
        <v/>
      </c>
      <c r="R222" s="8" t="n">
        <v>10023</v>
      </c>
      <c r="S222" s="10">
        <f>IFERROR(R222/G222,0)</f>
        <v/>
      </c>
    </row>
    <row r="223">
      <c r="A223" s="7" t="n">
        <v>46239</v>
      </c>
      <c r="B223" s="5" t="inlineStr">
        <is>
          <t>Aurelia Jewellery</t>
        </is>
      </c>
      <c r="C223" s="5" t="inlineStr">
        <is>
          <t>Luxury / Jewellery</t>
        </is>
      </c>
      <c r="D223" s="5" t="inlineStr">
        <is>
          <t>B2C</t>
        </is>
      </c>
      <c r="E223" s="5" t="inlineStr">
        <is>
          <t>Pinterest</t>
        </is>
      </c>
      <c r="F223" s="5" t="inlineStr">
        <is>
          <t>aureliajewellery.example.com</t>
        </is>
      </c>
      <c r="G223" s="8" t="n">
        <v>3192</v>
      </c>
      <c r="H223" s="8" t="n">
        <v>2420</v>
      </c>
      <c r="I223" s="8" t="n">
        <v>31</v>
      </c>
      <c r="J223" s="9">
        <f>I223/H223</f>
        <v/>
      </c>
      <c r="K223" s="8" t="n">
        <v>31</v>
      </c>
      <c r="L223" s="8" t="n">
        <v>0</v>
      </c>
      <c r="M223" s="5" t="inlineStr">
        <is>
          <t>N/A</t>
        </is>
      </c>
      <c r="N223" s="5" t="inlineStr">
        <is>
          <t>N/A</t>
        </is>
      </c>
      <c r="O223" s="8" t="inlineStr">
        <is>
          <t>N/A</t>
        </is>
      </c>
      <c r="P223" s="5" t="n">
        <v>0</v>
      </c>
      <c r="Q223" s="8">
        <f>IFERROR(G223/L223,0)</f>
        <v/>
      </c>
      <c r="R223" s="8" t="n">
        <v>13452</v>
      </c>
      <c r="S223" s="10">
        <f>IFERROR(R223/G223,0)</f>
        <v/>
      </c>
    </row>
    <row r="224">
      <c r="A224" s="7" t="n">
        <v>46240</v>
      </c>
      <c r="B224" s="5" t="inlineStr">
        <is>
          <t>Aurelia Jewellery</t>
        </is>
      </c>
      <c r="C224" s="5" t="inlineStr">
        <is>
          <t>Luxury / Jewellery</t>
        </is>
      </c>
      <c r="D224" s="5" t="inlineStr">
        <is>
          <t>B2C</t>
        </is>
      </c>
      <c r="E224" s="5" t="inlineStr">
        <is>
          <t>Pinterest</t>
        </is>
      </c>
      <c r="F224" s="5" t="inlineStr">
        <is>
          <t>aureliajewellery.example.com</t>
        </is>
      </c>
      <c r="G224" s="8" t="n">
        <v>2664</v>
      </c>
      <c r="H224" s="8" t="n">
        <v>1828</v>
      </c>
      <c r="I224" s="8" t="n">
        <v>24</v>
      </c>
      <c r="J224" s="9">
        <f>I224/H224</f>
        <v/>
      </c>
      <c r="K224" s="8" t="n">
        <v>20</v>
      </c>
      <c r="L224" s="8" t="n">
        <v>0</v>
      </c>
      <c r="M224" s="5" t="inlineStr">
        <is>
          <t>N/A</t>
        </is>
      </c>
      <c r="N224" s="5" t="inlineStr">
        <is>
          <t>N/A</t>
        </is>
      </c>
      <c r="O224" s="8" t="inlineStr">
        <is>
          <t>N/A</t>
        </is>
      </c>
      <c r="P224" s="5" t="n">
        <v>0</v>
      </c>
      <c r="Q224" s="8">
        <f>IFERROR(G224/L224,0)</f>
        <v/>
      </c>
      <c r="R224" s="8" t="n">
        <v>10161</v>
      </c>
      <c r="S224" s="10">
        <f>IFERROR(R224/G224,0)</f>
        <v/>
      </c>
    </row>
    <row r="225">
      <c r="A225" s="7" t="n">
        <v>46241</v>
      </c>
      <c r="B225" s="5" t="inlineStr">
        <is>
          <t>Aurelia Jewellery</t>
        </is>
      </c>
      <c r="C225" s="5" t="inlineStr">
        <is>
          <t>Luxury / Jewellery</t>
        </is>
      </c>
      <c r="D225" s="5" t="inlineStr">
        <is>
          <t>B2C</t>
        </is>
      </c>
      <c r="E225" s="5" t="inlineStr">
        <is>
          <t>Pinterest</t>
        </is>
      </c>
      <c r="F225" s="5" t="inlineStr">
        <is>
          <t>aureliajewellery.example.com</t>
        </is>
      </c>
      <c r="G225" s="8" t="n">
        <v>2470</v>
      </c>
      <c r="H225" s="8" t="n">
        <v>1746</v>
      </c>
      <c r="I225" s="8" t="n">
        <v>23</v>
      </c>
      <c r="J225" s="9">
        <f>I225/H225</f>
        <v/>
      </c>
      <c r="K225" s="8" t="n">
        <v>20</v>
      </c>
      <c r="L225" s="8" t="n">
        <v>0</v>
      </c>
      <c r="M225" s="5" t="inlineStr">
        <is>
          <t>N/A</t>
        </is>
      </c>
      <c r="N225" s="5" t="inlineStr">
        <is>
          <t>N/A</t>
        </is>
      </c>
      <c r="O225" s="8" t="inlineStr">
        <is>
          <t>N/A</t>
        </is>
      </c>
      <c r="P225" s="5" t="n">
        <v>0</v>
      </c>
      <c r="Q225" s="8">
        <f>IFERROR(G225/L225,0)</f>
        <v/>
      </c>
      <c r="R225" s="8" t="n">
        <v>9701</v>
      </c>
      <c r="S225" s="10">
        <f>IFERROR(R225/G225,0)</f>
        <v/>
      </c>
    </row>
    <row r="226">
      <c r="A226" s="7" t="n">
        <v>46242</v>
      </c>
      <c r="B226" s="5" t="inlineStr">
        <is>
          <t>Aurelia Jewellery</t>
        </is>
      </c>
      <c r="C226" s="5" t="inlineStr">
        <is>
          <t>Luxury / Jewellery</t>
        </is>
      </c>
      <c r="D226" s="5" t="inlineStr">
        <is>
          <t>B2C</t>
        </is>
      </c>
      <c r="E226" s="5" t="inlineStr">
        <is>
          <t>Pinterest</t>
        </is>
      </c>
      <c r="F226" s="5" t="inlineStr">
        <is>
          <t>aureliajewellery.example.com</t>
        </is>
      </c>
      <c r="G226" s="8" t="n">
        <v>2522</v>
      </c>
      <c r="H226" s="8" t="n">
        <v>1727</v>
      </c>
      <c r="I226" s="8" t="n">
        <v>22</v>
      </c>
      <c r="J226" s="9">
        <f>I226/H226</f>
        <v/>
      </c>
      <c r="K226" s="8" t="n">
        <v>20</v>
      </c>
      <c r="L226" s="8" t="n">
        <v>0</v>
      </c>
      <c r="M226" s="5" t="inlineStr">
        <is>
          <t>N/A</t>
        </is>
      </c>
      <c r="N226" s="5" t="inlineStr">
        <is>
          <t>N/A</t>
        </is>
      </c>
      <c r="O226" s="8" t="inlineStr">
        <is>
          <t>N/A</t>
        </is>
      </c>
      <c r="P226" s="5" t="n">
        <v>0</v>
      </c>
      <c r="Q226" s="8">
        <f>IFERROR(G226/L226,0)</f>
        <v/>
      </c>
      <c r="R226" s="8" t="n">
        <v>9600</v>
      </c>
      <c r="S226" s="10">
        <f>IFERROR(R226/G226,0)</f>
        <v/>
      </c>
    </row>
    <row r="227">
      <c r="A227" s="7" t="n">
        <v>46243</v>
      </c>
      <c r="B227" s="5" t="inlineStr">
        <is>
          <t>Aurelia Jewellery</t>
        </is>
      </c>
      <c r="C227" s="5" t="inlineStr">
        <is>
          <t>Luxury / Jewellery</t>
        </is>
      </c>
      <c r="D227" s="5" t="inlineStr">
        <is>
          <t>B2C</t>
        </is>
      </c>
      <c r="E227" s="5" t="inlineStr">
        <is>
          <t>Pinterest</t>
        </is>
      </c>
      <c r="F227" s="5" t="inlineStr">
        <is>
          <t>aureliajewellery.example.com</t>
        </is>
      </c>
      <c r="G227" s="8" t="n">
        <v>2906</v>
      </c>
      <c r="H227" s="8" t="n">
        <v>2067</v>
      </c>
      <c r="I227" s="8" t="n">
        <v>27</v>
      </c>
      <c r="J227" s="9">
        <f>I227/H227</f>
        <v/>
      </c>
      <c r="K227" s="8" t="n">
        <v>25</v>
      </c>
      <c r="L227" s="8" t="n">
        <v>0</v>
      </c>
      <c r="M227" s="5" t="inlineStr">
        <is>
          <t>N/A</t>
        </is>
      </c>
      <c r="N227" s="5" t="inlineStr">
        <is>
          <t>N/A</t>
        </is>
      </c>
      <c r="O227" s="8" t="inlineStr">
        <is>
          <t>N/A</t>
        </is>
      </c>
      <c r="P227" s="5" t="n">
        <v>0</v>
      </c>
      <c r="Q227" s="8">
        <f>IFERROR(G227/L227,0)</f>
        <v/>
      </c>
      <c r="R227" s="8" t="n">
        <v>11488</v>
      </c>
      <c r="S227" s="10">
        <f>IFERROR(R227/G227,0)</f>
        <v/>
      </c>
    </row>
    <row r="228">
      <c r="A228" s="7" t="n">
        <v>46244</v>
      </c>
      <c r="B228" s="5" t="inlineStr">
        <is>
          <t>Aurelia Jewellery</t>
        </is>
      </c>
      <c r="C228" s="5" t="inlineStr">
        <is>
          <t>Luxury / Jewellery</t>
        </is>
      </c>
      <c r="D228" s="5" t="inlineStr">
        <is>
          <t>B2C</t>
        </is>
      </c>
      <c r="E228" s="5" t="inlineStr">
        <is>
          <t>Pinterest</t>
        </is>
      </c>
      <c r="F228" s="5" t="inlineStr">
        <is>
          <t>aureliajewellery.example.com</t>
        </is>
      </c>
      <c r="G228" s="8" t="n">
        <v>2906</v>
      </c>
      <c r="H228" s="8" t="n">
        <v>2089</v>
      </c>
      <c r="I228" s="8" t="n">
        <v>27</v>
      </c>
      <c r="J228" s="9">
        <f>I228/H228</f>
        <v/>
      </c>
      <c r="K228" s="8" t="n">
        <v>23</v>
      </c>
      <c r="L228" s="8" t="n">
        <v>0</v>
      </c>
      <c r="M228" s="5" t="inlineStr">
        <is>
          <t>N/A</t>
        </is>
      </c>
      <c r="N228" s="5" t="inlineStr">
        <is>
          <t>N/A</t>
        </is>
      </c>
      <c r="O228" s="8" t="inlineStr">
        <is>
          <t>N/A</t>
        </is>
      </c>
      <c r="P228" s="5" t="n">
        <v>0</v>
      </c>
      <c r="Q228" s="8">
        <f>IFERROR(G228/L228,0)</f>
        <v/>
      </c>
      <c r="R228" s="8" t="n">
        <v>11607</v>
      </c>
      <c r="S228" s="10">
        <f>IFERROR(R228/G228,0)</f>
        <v/>
      </c>
    </row>
    <row r="229">
      <c r="A229" s="7" t="n">
        <v>46245</v>
      </c>
      <c r="B229" s="5" t="inlineStr">
        <is>
          <t>Aurelia Jewellery</t>
        </is>
      </c>
      <c r="C229" s="5" t="inlineStr">
        <is>
          <t>Luxury / Jewellery</t>
        </is>
      </c>
      <c r="D229" s="5" t="inlineStr">
        <is>
          <t>B2C</t>
        </is>
      </c>
      <c r="E229" s="5" t="inlineStr">
        <is>
          <t>Pinterest</t>
        </is>
      </c>
      <c r="F229" s="5" t="inlineStr">
        <is>
          <t>aureliajewellery.example.com</t>
        </is>
      </c>
      <c r="G229" s="8" t="n">
        <v>2876</v>
      </c>
      <c r="H229" s="8" t="n">
        <v>1509</v>
      </c>
      <c r="I229" s="8" t="n">
        <v>20</v>
      </c>
      <c r="J229" s="9">
        <f>I229/H229</f>
        <v/>
      </c>
      <c r="K229" s="8" t="n">
        <v>19</v>
      </c>
      <c r="L229" s="8" t="n">
        <v>0</v>
      </c>
      <c r="M229" s="5" t="inlineStr">
        <is>
          <t>N/A</t>
        </is>
      </c>
      <c r="N229" s="5" t="inlineStr">
        <is>
          <t>N/A</t>
        </is>
      </c>
      <c r="O229" s="8" t="inlineStr">
        <is>
          <t>N/A</t>
        </is>
      </c>
      <c r="P229" s="5" t="n">
        <v>0</v>
      </c>
      <c r="Q229" s="8">
        <f>IFERROR(G229/L229,0)</f>
        <v/>
      </c>
      <c r="R229" s="8" t="n">
        <v>8389</v>
      </c>
      <c r="S229" s="10">
        <f>IFERROR(R229/G229,0)</f>
        <v/>
      </c>
    </row>
    <row r="230">
      <c r="A230" s="7" t="n">
        <v>46246</v>
      </c>
      <c r="B230" s="5" t="inlineStr">
        <is>
          <t>Aurelia Jewellery</t>
        </is>
      </c>
      <c r="C230" s="5" t="inlineStr">
        <is>
          <t>Luxury / Jewellery</t>
        </is>
      </c>
      <c r="D230" s="5" t="inlineStr">
        <is>
          <t>B2C</t>
        </is>
      </c>
      <c r="E230" s="5" t="inlineStr">
        <is>
          <t>Pinterest</t>
        </is>
      </c>
      <c r="F230" s="5" t="inlineStr">
        <is>
          <t>aureliajewellery.example.com</t>
        </is>
      </c>
      <c r="G230" s="8" t="n">
        <v>3146</v>
      </c>
      <c r="H230" s="8" t="n">
        <v>2324</v>
      </c>
      <c r="I230" s="8" t="n">
        <v>30</v>
      </c>
      <c r="J230" s="9">
        <f>I230/H230</f>
        <v/>
      </c>
      <c r="K230" s="8" t="n">
        <v>28</v>
      </c>
      <c r="L230" s="8" t="n">
        <v>0</v>
      </c>
      <c r="M230" s="5" t="inlineStr">
        <is>
          <t>N/A</t>
        </is>
      </c>
      <c r="N230" s="5" t="inlineStr">
        <is>
          <t>N/A</t>
        </is>
      </c>
      <c r="O230" s="8" t="inlineStr">
        <is>
          <t>N/A</t>
        </is>
      </c>
      <c r="P230" s="5" t="n">
        <v>0</v>
      </c>
      <c r="Q230" s="8">
        <f>IFERROR(G230/L230,0)</f>
        <v/>
      </c>
      <c r="R230" s="8" t="n">
        <v>12913</v>
      </c>
      <c r="S230" s="10">
        <f>IFERROR(R230/G230,0)</f>
        <v/>
      </c>
    </row>
    <row r="231">
      <c r="A231" s="7" t="n">
        <v>46247</v>
      </c>
      <c r="B231" s="5" t="inlineStr">
        <is>
          <t>Aurelia Jewellery</t>
        </is>
      </c>
      <c r="C231" s="5" t="inlineStr">
        <is>
          <t>Luxury / Jewellery</t>
        </is>
      </c>
      <c r="D231" s="5" t="inlineStr">
        <is>
          <t>B2C</t>
        </is>
      </c>
      <c r="E231" s="5" t="inlineStr">
        <is>
          <t>Pinterest</t>
        </is>
      </c>
      <c r="F231" s="5" t="inlineStr">
        <is>
          <t>aureliajewellery.example.com</t>
        </is>
      </c>
      <c r="G231" s="8" t="n">
        <v>2357</v>
      </c>
      <c r="H231" s="8" t="n">
        <v>1422</v>
      </c>
      <c r="I231" s="8" t="n">
        <v>18</v>
      </c>
      <c r="J231" s="9">
        <f>I231/H231</f>
        <v/>
      </c>
      <c r="K231" s="8" t="n">
        <v>17</v>
      </c>
      <c r="L231" s="8" t="n">
        <v>0</v>
      </c>
      <c r="M231" s="5" t="inlineStr">
        <is>
          <t>N/A</t>
        </is>
      </c>
      <c r="N231" s="5" t="inlineStr">
        <is>
          <t>N/A</t>
        </is>
      </c>
      <c r="O231" s="8" t="inlineStr">
        <is>
          <t>N/A</t>
        </is>
      </c>
      <c r="P231" s="5" t="n">
        <v>0</v>
      </c>
      <c r="Q231" s="8">
        <f>IFERROR(G231/L231,0)</f>
        <v/>
      </c>
      <c r="R231" s="8" t="n">
        <v>7903</v>
      </c>
      <c r="S231" s="10">
        <f>IFERROR(R231/G231,0)</f>
        <v/>
      </c>
    </row>
    <row r="232">
      <c r="A232" s="7" t="n">
        <v>46248</v>
      </c>
      <c r="B232" s="5" t="inlineStr">
        <is>
          <t>Aurelia Jewellery</t>
        </is>
      </c>
      <c r="C232" s="5" t="inlineStr">
        <is>
          <t>Luxury / Jewellery</t>
        </is>
      </c>
      <c r="D232" s="5" t="inlineStr">
        <is>
          <t>B2C</t>
        </is>
      </c>
      <c r="E232" s="5" t="inlineStr">
        <is>
          <t>Pinterest</t>
        </is>
      </c>
      <c r="F232" s="5" t="inlineStr">
        <is>
          <t>aureliajewellery.example.com</t>
        </is>
      </c>
      <c r="G232" s="8" t="n">
        <v>2980</v>
      </c>
      <c r="H232" s="8" t="n">
        <v>1685</v>
      </c>
      <c r="I232" s="8" t="n">
        <v>22</v>
      </c>
      <c r="J232" s="9">
        <f>I232/H232</f>
        <v/>
      </c>
      <c r="K232" s="8" t="n">
        <v>19</v>
      </c>
      <c r="L232" s="8" t="n">
        <v>0</v>
      </c>
      <c r="M232" s="5" t="inlineStr">
        <is>
          <t>N/A</t>
        </is>
      </c>
      <c r="N232" s="5" t="inlineStr">
        <is>
          <t>N/A</t>
        </is>
      </c>
      <c r="O232" s="8" t="inlineStr">
        <is>
          <t>N/A</t>
        </is>
      </c>
      <c r="P232" s="5" t="n">
        <v>0</v>
      </c>
      <c r="Q232" s="8">
        <f>IFERROR(G232/L232,0)</f>
        <v/>
      </c>
      <c r="R232" s="8" t="n">
        <v>9365</v>
      </c>
      <c r="S232" s="10">
        <f>IFERROR(R232/G232,0)</f>
        <v/>
      </c>
    </row>
    <row r="233">
      <c r="A233" s="7" t="n">
        <v>46249</v>
      </c>
      <c r="B233" s="5" t="inlineStr">
        <is>
          <t>Aurelia Jewellery</t>
        </is>
      </c>
      <c r="C233" s="5" t="inlineStr">
        <is>
          <t>Luxury / Jewellery</t>
        </is>
      </c>
      <c r="D233" s="5" t="inlineStr">
        <is>
          <t>B2C</t>
        </is>
      </c>
      <c r="E233" s="5" t="inlineStr">
        <is>
          <t>Pinterest</t>
        </is>
      </c>
      <c r="F233" s="5" t="inlineStr">
        <is>
          <t>aureliajewellery.example.com</t>
        </is>
      </c>
      <c r="G233" s="8" t="n">
        <v>3217</v>
      </c>
      <c r="H233" s="8" t="n">
        <v>2184</v>
      </c>
      <c r="I233" s="8" t="n">
        <v>28</v>
      </c>
      <c r="J233" s="9">
        <f>I233/H233</f>
        <v/>
      </c>
      <c r="K233" s="8" t="n">
        <v>25</v>
      </c>
      <c r="L233" s="8" t="n">
        <v>0</v>
      </c>
      <c r="M233" s="5" t="inlineStr">
        <is>
          <t>N/A</t>
        </is>
      </c>
      <c r="N233" s="5" t="inlineStr">
        <is>
          <t>N/A</t>
        </is>
      </c>
      <c r="O233" s="8" t="inlineStr">
        <is>
          <t>N/A</t>
        </is>
      </c>
      <c r="P233" s="5" t="n">
        <v>0</v>
      </c>
      <c r="Q233" s="8">
        <f>IFERROR(G233/L233,0)</f>
        <v/>
      </c>
      <c r="R233" s="8" t="n">
        <v>12139</v>
      </c>
      <c r="S233" s="10">
        <f>IFERROR(R233/G233,0)</f>
        <v/>
      </c>
    </row>
    <row r="234">
      <c r="A234" s="7" t="n">
        <v>46250</v>
      </c>
      <c r="B234" s="5" t="inlineStr">
        <is>
          <t>Aurelia Jewellery</t>
        </is>
      </c>
      <c r="C234" s="5" t="inlineStr">
        <is>
          <t>Luxury / Jewellery</t>
        </is>
      </c>
      <c r="D234" s="5" t="inlineStr">
        <is>
          <t>B2C</t>
        </is>
      </c>
      <c r="E234" s="5" t="inlineStr">
        <is>
          <t>Pinterest</t>
        </is>
      </c>
      <c r="F234" s="5" t="inlineStr">
        <is>
          <t>aureliajewellery.example.com</t>
        </is>
      </c>
      <c r="G234" s="8" t="n">
        <v>2671</v>
      </c>
      <c r="H234" s="8" t="n">
        <v>1845</v>
      </c>
      <c r="I234" s="8" t="n">
        <v>24</v>
      </c>
      <c r="J234" s="9">
        <f>I234/H234</f>
        <v/>
      </c>
      <c r="K234" s="8" t="n">
        <v>21</v>
      </c>
      <c r="L234" s="8" t="n">
        <v>0</v>
      </c>
      <c r="M234" s="5" t="inlineStr">
        <is>
          <t>N/A</t>
        </is>
      </c>
      <c r="N234" s="5" t="inlineStr">
        <is>
          <t>N/A</t>
        </is>
      </c>
      <c r="O234" s="8" t="inlineStr">
        <is>
          <t>N/A</t>
        </is>
      </c>
      <c r="P234" s="5" t="n">
        <v>0</v>
      </c>
      <c r="Q234" s="8">
        <f>IFERROR(G234/L234,0)</f>
        <v/>
      </c>
      <c r="R234" s="8" t="n">
        <v>10252</v>
      </c>
      <c r="S234" s="10">
        <f>IFERROR(R234/G234,0)</f>
        <v/>
      </c>
    </row>
    <row r="235">
      <c r="A235" s="7" t="n">
        <v>46251</v>
      </c>
      <c r="B235" s="5" t="inlineStr">
        <is>
          <t>Aurelia Jewellery</t>
        </is>
      </c>
      <c r="C235" s="5" t="inlineStr">
        <is>
          <t>Luxury / Jewellery</t>
        </is>
      </c>
      <c r="D235" s="5" t="inlineStr">
        <is>
          <t>B2C</t>
        </is>
      </c>
      <c r="E235" s="5" t="inlineStr">
        <is>
          <t>Pinterest</t>
        </is>
      </c>
      <c r="F235" s="5" t="inlineStr">
        <is>
          <t>aureliajewellery.example.com</t>
        </is>
      </c>
      <c r="G235" s="8" t="n">
        <v>2823</v>
      </c>
      <c r="H235" s="8" t="n">
        <v>1770</v>
      </c>
      <c r="I235" s="8" t="n">
        <v>23</v>
      </c>
      <c r="J235" s="9">
        <f>I235/H235</f>
        <v/>
      </c>
      <c r="K235" s="8" t="n">
        <v>22</v>
      </c>
      <c r="L235" s="8" t="n">
        <v>0</v>
      </c>
      <c r="M235" s="5" t="inlineStr">
        <is>
          <t>N/A</t>
        </is>
      </c>
      <c r="N235" s="5" t="inlineStr">
        <is>
          <t>N/A</t>
        </is>
      </c>
      <c r="O235" s="8" t="inlineStr">
        <is>
          <t>N/A</t>
        </is>
      </c>
      <c r="P235" s="5" t="n">
        <v>0</v>
      </c>
      <c r="Q235" s="8">
        <f>IFERROR(G235/L235,0)</f>
        <v/>
      </c>
      <c r="R235" s="8" t="n">
        <v>9834</v>
      </c>
      <c r="S235" s="10">
        <f>IFERROR(R235/G235,0)</f>
        <v/>
      </c>
    </row>
    <row r="236">
      <c r="A236" s="7" t="n">
        <v>46252</v>
      </c>
      <c r="B236" s="5" t="inlineStr">
        <is>
          <t>Aurelia Jewellery</t>
        </is>
      </c>
      <c r="C236" s="5" t="inlineStr">
        <is>
          <t>Luxury / Jewellery</t>
        </is>
      </c>
      <c r="D236" s="5" t="inlineStr">
        <is>
          <t>B2C</t>
        </is>
      </c>
      <c r="E236" s="5" t="inlineStr">
        <is>
          <t>Pinterest</t>
        </is>
      </c>
      <c r="F236" s="5" t="inlineStr">
        <is>
          <t>aureliajewellery.example.com</t>
        </is>
      </c>
      <c r="G236" s="8" t="n">
        <v>2747</v>
      </c>
      <c r="H236" s="8" t="n">
        <v>2066</v>
      </c>
      <c r="I236" s="8" t="n">
        <v>27</v>
      </c>
      <c r="J236" s="9">
        <f>I236/H236</f>
        <v/>
      </c>
      <c r="K236" s="8" t="n">
        <v>25</v>
      </c>
      <c r="L236" s="8" t="n">
        <v>0</v>
      </c>
      <c r="M236" s="5" t="inlineStr">
        <is>
          <t>N/A</t>
        </is>
      </c>
      <c r="N236" s="5" t="inlineStr">
        <is>
          <t>N/A</t>
        </is>
      </c>
      <c r="O236" s="8" t="inlineStr">
        <is>
          <t>N/A</t>
        </is>
      </c>
      <c r="P236" s="5" t="n">
        <v>0</v>
      </c>
      <c r="Q236" s="8">
        <f>IFERROR(G236/L236,0)</f>
        <v/>
      </c>
      <c r="R236" s="8" t="n">
        <v>11480</v>
      </c>
      <c r="S236" s="10">
        <f>IFERROR(R236/G236,0)</f>
        <v/>
      </c>
    </row>
    <row r="237">
      <c r="A237" s="7" t="n">
        <v>46253</v>
      </c>
      <c r="B237" s="5" t="inlineStr">
        <is>
          <t>Aurelia Jewellery</t>
        </is>
      </c>
      <c r="C237" s="5" t="inlineStr">
        <is>
          <t>Luxury / Jewellery</t>
        </is>
      </c>
      <c r="D237" s="5" t="inlineStr">
        <is>
          <t>B2C</t>
        </is>
      </c>
      <c r="E237" s="5" t="inlineStr">
        <is>
          <t>Pinterest</t>
        </is>
      </c>
      <c r="F237" s="5" t="inlineStr">
        <is>
          <t>aureliajewellery.example.com</t>
        </is>
      </c>
      <c r="G237" s="8" t="n">
        <v>2718</v>
      </c>
      <c r="H237" s="8" t="n">
        <v>1559</v>
      </c>
      <c r="I237" s="8" t="n">
        <v>20</v>
      </c>
      <c r="J237" s="9">
        <f>I237/H237</f>
        <v/>
      </c>
      <c r="K237" s="8" t="n">
        <v>19</v>
      </c>
      <c r="L237" s="8" t="n">
        <v>0</v>
      </c>
      <c r="M237" s="5" t="inlineStr">
        <is>
          <t>N/A</t>
        </is>
      </c>
      <c r="N237" s="5" t="inlineStr">
        <is>
          <t>N/A</t>
        </is>
      </c>
      <c r="O237" s="8" t="inlineStr">
        <is>
          <t>N/A</t>
        </is>
      </c>
      <c r="P237" s="5" t="n">
        <v>0</v>
      </c>
      <c r="Q237" s="8">
        <f>IFERROR(G237/L237,0)</f>
        <v/>
      </c>
      <c r="R237" s="8" t="n">
        <v>8666</v>
      </c>
      <c r="S237" s="10">
        <f>IFERROR(R237/G237,0)</f>
        <v/>
      </c>
    </row>
    <row r="238">
      <c r="A238" s="7" t="n">
        <v>46254</v>
      </c>
      <c r="B238" s="5" t="inlineStr">
        <is>
          <t>Aurelia Jewellery</t>
        </is>
      </c>
      <c r="C238" s="5" t="inlineStr">
        <is>
          <t>Luxury / Jewellery</t>
        </is>
      </c>
      <c r="D238" s="5" t="inlineStr">
        <is>
          <t>B2C</t>
        </is>
      </c>
      <c r="E238" s="5" t="inlineStr">
        <is>
          <t>Pinterest</t>
        </is>
      </c>
      <c r="F238" s="5" t="inlineStr">
        <is>
          <t>aureliajewellery.example.com</t>
        </is>
      </c>
      <c r="G238" s="8" t="n">
        <v>2834</v>
      </c>
      <c r="H238" s="8" t="n">
        <v>1843</v>
      </c>
      <c r="I238" s="8" t="n">
        <v>24</v>
      </c>
      <c r="J238" s="9">
        <f>I238/H238</f>
        <v/>
      </c>
      <c r="K238" s="8" t="n">
        <v>21</v>
      </c>
      <c r="L238" s="8" t="n">
        <v>0</v>
      </c>
      <c r="M238" s="5" t="inlineStr">
        <is>
          <t>N/A</t>
        </is>
      </c>
      <c r="N238" s="5" t="inlineStr">
        <is>
          <t>N/A</t>
        </is>
      </c>
      <c r="O238" s="8" t="inlineStr">
        <is>
          <t>N/A</t>
        </is>
      </c>
      <c r="P238" s="5" t="n">
        <v>0</v>
      </c>
      <c r="Q238" s="8">
        <f>IFERROR(G238/L238,0)</f>
        <v/>
      </c>
      <c r="R238" s="8" t="n">
        <v>10242</v>
      </c>
      <c r="S238" s="10">
        <f>IFERROR(R238/G238,0)</f>
        <v/>
      </c>
    </row>
    <row r="239">
      <c r="A239" s="7" t="n">
        <v>46255</v>
      </c>
      <c r="B239" s="5" t="inlineStr">
        <is>
          <t>Aurelia Jewellery</t>
        </is>
      </c>
      <c r="C239" s="5" t="inlineStr">
        <is>
          <t>Luxury / Jewellery</t>
        </is>
      </c>
      <c r="D239" s="5" t="inlineStr">
        <is>
          <t>B2C</t>
        </is>
      </c>
      <c r="E239" s="5" t="inlineStr">
        <is>
          <t>Pinterest</t>
        </is>
      </c>
      <c r="F239" s="5" t="inlineStr">
        <is>
          <t>aureliajewellery.example.com</t>
        </is>
      </c>
      <c r="G239" s="8" t="n">
        <v>3190</v>
      </c>
      <c r="H239" s="8" t="n">
        <v>2028</v>
      </c>
      <c r="I239" s="8" t="n">
        <v>26</v>
      </c>
      <c r="J239" s="9">
        <f>I239/H239</f>
        <v/>
      </c>
      <c r="K239" s="8" t="n">
        <v>24</v>
      </c>
      <c r="L239" s="8" t="n">
        <v>0</v>
      </c>
      <c r="M239" s="5" t="inlineStr">
        <is>
          <t>N/A</t>
        </is>
      </c>
      <c r="N239" s="5" t="inlineStr">
        <is>
          <t>N/A</t>
        </is>
      </c>
      <c r="O239" s="8" t="inlineStr">
        <is>
          <t>N/A</t>
        </is>
      </c>
      <c r="P239" s="5" t="n">
        <v>0</v>
      </c>
      <c r="Q239" s="8">
        <f>IFERROR(G239/L239,0)</f>
        <v/>
      </c>
      <c r="R239" s="8" t="n">
        <v>11270</v>
      </c>
      <c r="S239" s="10">
        <f>IFERROR(R239/G239,0)</f>
        <v/>
      </c>
    </row>
    <row r="240">
      <c r="A240" s="7" t="n">
        <v>46256</v>
      </c>
      <c r="B240" s="5" t="inlineStr">
        <is>
          <t>Aurelia Jewellery</t>
        </is>
      </c>
      <c r="C240" s="5" t="inlineStr">
        <is>
          <t>Luxury / Jewellery</t>
        </is>
      </c>
      <c r="D240" s="5" t="inlineStr">
        <is>
          <t>B2C</t>
        </is>
      </c>
      <c r="E240" s="5" t="inlineStr">
        <is>
          <t>Pinterest</t>
        </is>
      </c>
      <c r="F240" s="5" t="inlineStr">
        <is>
          <t>aureliajewellery.example.com</t>
        </is>
      </c>
      <c r="G240" s="8" t="n">
        <v>3273</v>
      </c>
      <c r="H240" s="8" t="n">
        <v>2225</v>
      </c>
      <c r="I240" s="8" t="n">
        <v>29</v>
      </c>
      <c r="J240" s="9">
        <f>I240/H240</f>
        <v/>
      </c>
      <c r="K240" s="8" t="n">
        <v>26</v>
      </c>
      <c r="L240" s="8" t="n">
        <v>0</v>
      </c>
      <c r="M240" s="5" t="inlineStr">
        <is>
          <t>N/A</t>
        </is>
      </c>
      <c r="N240" s="5" t="inlineStr">
        <is>
          <t>N/A</t>
        </is>
      </c>
      <c r="O240" s="8" t="inlineStr">
        <is>
          <t>N/A</t>
        </is>
      </c>
      <c r="P240" s="5" t="n">
        <v>0</v>
      </c>
      <c r="Q240" s="8">
        <f>IFERROR(G240/L240,0)</f>
        <v/>
      </c>
      <c r="R240" s="8" t="n">
        <v>12368</v>
      </c>
      <c r="S240" s="10">
        <f>IFERROR(R240/G240,0)</f>
        <v/>
      </c>
    </row>
    <row r="241">
      <c r="A241" s="7" t="n">
        <v>46257</v>
      </c>
      <c r="B241" s="5" t="inlineStr">
        <is>
          <t>Aurelia Jewellery</t>
        </is>
      </c>
      <c r="C241" s="5" t="inlineStr">
        <is>
          <t>Luxury / Jewellery</t>
        </is>
      </c>
      <c r="D241" s="5" t="inlineStr">
        <is>
          <t>B2C</t>
        </is>
      </c>
      <c r="E241" s="5" t="inlineStr">
        <is>
          <t>Pinterest</t>
        </is>
      </c>
      <c r="F241" s="5" t="inlineStr">
        <is>
          <t>aureliajewellery.example.com</t>
        </is>
      </c>
      <c r="G241" s="8" t="n">
        <v>2832</v>
      </c>
      <c r="H241" s="8" t="n">
        <v>2001</v>
      </c>
      <c r="I241" s="8" t="n">
        <v>26</v>
      </c>
      <c r="J241" s="9">
        <f>I241/H241</f>
        <v/>
      </c>
      <c r="K241" s="8" t="n">
        <v>25</v>
      </c>
      <c r="L241" s="8" t="n">
        <v>0</v>
      </c>
      <c r="M241" s="5" t="inlineStr">
        <is>
          <t>N/A</t>
        </is>
      </c>
      <c r="N241" s="5" t="inlineStr">
        <is>
          <t>N/A</t>
        </is>
      </c>
      <c r="O241" s="8" t="inlineStr">
        <is>
          <t>N/A</t>
        </is>
      </c>
      <c r="P241" s="5" t="n">
        <v>0</v>
      </c>
      <c r="Q241" s="8">
        <f>IFERROR(G241/L241,0)</f>
        <v/>
      </c>
      <c r="R241" s="8" t="n">
        <v>11121</v>
      </c>
      <c r="S241" s="10">
        <f>IFERROR(R241/G241,0)</f>
        <v/>
      </c>
    </row>
    <row r="242">
      <c r="A242" s="7" t="n">
        <v>46258</v>
      </c>
      <c r="B242" s="5" t="inlineStr">
        <is>
          <t>Aurelia Jewellery</t>
        </is>
      </c>
      <c r="C242" s="5" t="inlineStr">
        <is>
          <t>Luxury / Jewellery</t>
        </is>
      </c>
      <c r="D242" s="5" t="inlineStr">
        <is>
          <t>B2C</t>
        </is>
      </c>
      <c r="E242" s="5" t="inlineStr">
        <is>
          <t>Pinterest</t>
        </is>
      </c>
      <c r="F242" s="5" t="inlineStr">
        <is>
          <t>aureliajewellery.example.com</t>
        </is>
      </c>
      <c r="G242" s="8" t="n">
        <v>3287</v>
      </c>
      <c r="H242" s="8" t="n">
        <v>1976</v>
      </c>
      <c r="I242" s="8" t="n">
        <v>26</v>
      </c>
      <c r="J242" s="9">
        <f>I242/H242</f>
        <v/>
      </c>
      <c r="K242" s="8" t="n">
        <v>24</v>
      </c>
      <c r="L242" s="8" t="n">
        <v>0</v>
      </c>
      <c r="M242" s="5" t="inlineStr">
        <is>
          <t>N/A</t>
        </is>
      </c>
      <c r="N242" s="5" t="inlineStr">
        <is>
          <t>N/A</t>
        </is>
      </c>
      <c r="O242" s="8" t="inlineStr">
        <is>
          <t>N/A</t>
        </is>
      </c>
      <c r="P242" s="5" t="n">
        <v>0</v>
      </c>
      <c r="Q242" s="8">
        <f>IFERROR(G242/L242,0)</f>
        <v/>
      </c>
      <c r="R242" s="8" t="n">
        <v>10979</v>
      </c>
      <c r="S242" s="10">
        <f>IFERROR(R242/G242,0)</f>
        <v/>
      </c>
    </row>
    <row r="243">
      <c r="A243" s="7" t="n">
        <v>46259</v>
      </c>
      <c r="B243" s="5" t="inlineStr">
        <is>
          <t>Aurelia Jewellery</t>
        </is>
      </c>
      <c r="C243" s="5" t="inlineStr">
        <is>
          <t>Luxury / Jewellery</t>
        </is>
      </c>
      <c r="D243" s="5" t="inlineStr">
        <is>
          <t>B2C</t>
        </is>
      </c>
      <c r="E243" s="5" t="inlineStr">
        <is>
          <t>Pinterest</t>
        </is>
      </c>
      <c r="F243" s="5" t="inlineStr">
        <is>
          <t>aureliajewellery.example.com</t>
        </is>
      </c>
      <c r="G243" s="8" t="n">
        <v>2907</v>
      </c>
      <c r="H243" s="8" t="n">
        <v>2161</v>
      </c>
      <c r="I243" s="8" t="n">
        <v>28</v>
      </c>
      <c r="J243" s="9">
        <f>I243/H243</f>
        <v/>
      </c>
      <c r="K243" s="8" t="n">
        <v>25</v>
      </c>
      <c r="L243" s="8" t="n">
        <v>0</v>
      </c>
      <c r="M243" s="5" t="inlineStr">
        <is>
          <t>N/A</t>
        </is>
      </c>
      <c r="N243" s="5" t="inlineStr">
        <is>
          <t>N/A</t>
        </is>
      </c>
      <c r="O243" s="8" t="inlineStr">
        <is>
          <t>N/A</t>
        </is>
      </c>
      <c r="P243" s="5" t="n">
        <v>0</v>
      </c>
      <c r="Q243" s="8">
        <f>IFERROR(G243/L243,0)</f>
        <v/>
      </c>
      <c r="R243" s="8" t="n">
        <v>12008</v>
      </c>
      <c r="S243" s="10">
        <f>IFERROR(R243/G243,0)</f>
        <v/>
      </c>
    </row>
    <row r="244">
      <c r="A244" s="7" t="n">
        <v>46260</v>
      </c>
      <c r="B244" s="5" t="inlineStr">
        <is>
          <t>Aurelia Jewellery</t>
        </is>
      </c>
      <c r="C244" s="5" t="inlineStr">
        <is>
          <t>Luxury / Jewellery</t>
        </is>
      </c>
      <c r="D244" s="5" t="inlineStr">
        <is>
          <t>B2C</t>
        </is>
      </c>
      <c r="E244" s="5" t="inlineStr">
        <is>
          <t>Pinterest</t>
        </is>
      </c>
      <c r="F244" s="5" t="inlineStr">
        <is>
          <t>aureliajewellery.example.com</t>
        </is>
      </c>
      <c r="G244" s="8" t="n">
        <v>3256</v>
      </c>
      <c r="H244" s="8" t="n">
        <v>2243</v>
      </c>
      <c r="I244" s="8" t="n">
        <v>29</v>
      </c>
      <c r="J244" s="9">
        <f>I244/H244</f>
        <v/>
      </c>
      <c r="K244" s="8" t="n">
        <v>28</v>
      </c>
      <c r="L244" s="8" t="n">
        <v>0</v>
      </c>
      <c r="M244" s="5" t="inlineStr">
        <is>
          <t>N/A</t>
        </is>
      </c>
      <c r="N244" s="5" t="inlineStr">
        <is>
          <t>N/A</t>
        </is>
      </c>
      <c r="O244" s="8" t="inlineStr">
        <is>
          <t>N/A</t>
        </is>
      </c>
      <c r="P244" s="5" t="n">
        <v>0</v>
      </c>
      <c r="Q244" s="8">
        <f>IFERROR(G244/L244,0)</f>
        <v/>
      </c>
      <c r="R244" s="8" t="n">
        <v>12466</v>
      </c>
      <c r="S244" s="10">
        <f>IFERROR(R244/G244,0)</f>
        <v/>
      </c>
    </row>
    <row r="245">
      <c r="A245" s="7" t="n">
        <v>46261</v>
      </c>
      <c r="B245" s="5" t="inlineStr">
        <is>
          <t>Aurelia Jewellery</t>
        </is>
      </c>
      <c r="C245" s="5" t="inlineStr">
        <is>
          <t>Luxury / Jewellery</t>
        </is>
      </c>
      <c r="D245" s="5" t="inlineStr">
        <is>
          <t>B2C</t>
        </is>
      </c>
      <c r="E245" s="5" t="inlineStr">
        <is>
          <t>Pinterest</t>
        </is>
      </c>
      <c r="F245" s="5" t="inlineStr">
        <is>
          <t>aureliajewellery.example.com</t>
        </is>
      </c>
      <c r="G245" s="8" t="n">
        <v>2881</v>
      </c>
      <c r="H245" s="8" t="n">
        <v>1523</v>
      </c>
      <c r="I245" s="8" t="n">
        <v>20</v>
      </c>
      <c r="J245" s="9">
        <f>I245/H245</f>
        <v/>
      </c>
      <c r="K245" s="8" t="n">
        <v>17</v>
      </c>
      <c r="L245" s="8" t="n">
        <v>0</v>
      </c>
      <c r="M245" s="5" t="inlineStr">
        <is>
          <t>N/A</t>
        </is>
      </c>
      <c r="N245" s="5" t="inlineStr">
        <is>
          <t>N/A</t>
        </is>
      </c>
      <c r="O245" s="8" t="inlineStr">
        <is>
          <t>N/A</t>
        </is>
      </c>
      <c r="P245" s="5" t="n">
        <v>0</v>
      </c>
      <c r="Q245" s="8">
        <f>IFERROR(G245/L245,0)</f>
        <v/>
      </c>
      <c r="R245" s="8" t="n">
        <v>8462</v>
      </c>
      <c r="S245" s="10">
        <f>IFERROR(R245/G245,0)</f>
        <v/>
      </c>
    </row>
    <row r="246">
      <c r="A246" s="7" t="n">
        <v>46262</v>
      </c>
      <c r="B246" s="5" t="inlineStr">
        <is>
          <t>Aurelia Jewellery</t>
        </is>
      </c>
      <c r="C246" s="5" t="inlineStr">
        <is>
          <t>Luxury / Jewellery</t>
        </is>
      </c>
      <c r="D246" s="5" t="inlineStr">
        <is>
          <t>B2C</t>
        </is>
      </c>
      <c r="E246" s="5" t="inlineStr">
        <is>
          <t>Pinterest</t>
        </is>
      </c>
      <c r="F246" s="5" t="inlineStr">
        <is>
          <t>aureliajewellery.example.com</t>
        </is>
      </c>
      <c r="G246" s="8" t="n">
        <v>2927</v>
      </c>
      <c r="H246" s="8" t="n">
        <v>1531</v>
      </c>
      <c r="I246" s="8" t="n">
        <v>20</v>
      </c>
      <c r="J246" s="9">
        <f>I246/H246</f>
        <v/>
      </c>
      <c r="K246" s="8" t="n">
        <v>19</v>
      </c>
      <c r="L246" s="8" t="n">
        <v>0</v>
      </c>
      <c r="M246" s="5" t="inlineStr">
        <is>
          <t>N/A</t>
        </is>
      </c>
      <c r="N246" s="5" t="inlineStr">
        <is>
          <t>N/A</t>
        </is>
      </c>
      <c r="O246" s="8" t="inlineStr">
        <is>
          <t>N/A</t>
        </is>
      </c>
      <c r="P246" s="5" t="n">
        <v>0</v>
      </c>
      <c r="Q246" s="8">
        <f>IFERROR(G246/L246,0)</f>
        <v/>
      </c>
      <c r="R246" s="8" t="n">
        <v>8507</v>
      </c>
      <c r="S246" s="10">
        <f>IFERROR(R246/G246,0)</f>
        <v/>
      </c>
    </row>
    <row r="247">
      <c r="A247" s="7" t="n">
        <v>46263</v>
      </c>
      <c r="B247" s="5" t="inlineStr">
        <is>
          <t>Aurelia Jewellery</t>
        </is>
      </c>
      <c r="C247" s="5" t="inlineStr">
        <is>
          <t>Luxury / Jewellery</t>
        </is>
      </c>
      <c r="D247" s="5" t="inlineStr">
        <is>
          <t>B2C</t>
        </is>
      </c>
      <c r="E247" s="5" t="inlineStr">
        <is>
          <t>Pinterest</t>
        </is>
      </c>
      <c r="F247" s="5" t="inlineStr">
        <is>
          <t>aureliajewellery.example.com</t>
        </is>
      </c>
      <c r="G247" s="8" t="n">
        <v>2974</v>
      </c>
      <c r="H247" s="8" t="n">
        <v>2031</v>
      </c>
      <c r="I247" s="8" t="n">
        <v>26</v>
      </c>
      <c r="J247" s="9">
        <f>I247/H247</f>
        <v/>
      </c>
      <c r="K247" s="8" t="n">
        <v>23</v>
      </c>
      <c r="L247" s="8" t="n">
        <v>0</v>
      </c>
      <c r="M247" s="5" t="inlineStr">
        <is>
          <t>N/A</t>
        </is>
      </c>
      <c r="N247" s="5" t="inlineStr">
        <is>
          <t>N/A</t>
        </is>
      </c>
      <c r="O247" s="8" t="inlineStr">
        <is>
          <t>N/A</t>
        </is>
      </c>
      <c r="P247" s="5" t="n">
        <v>0</v>
      </c>
      <c r="Q247" s="8">
        <f>IFERROR(G247/L247,0)</f>
        <v/>
      </c>
      <c r="R247" s="8" t="n">
        <v>11285</v>
      </c>
      <c r="S247" s="10">
        <f>IFERROR(R247/G247,0)</f>
        <v/>
      </c>
    </row>
    <row r="248">
      <c r="A248" s="7" t="n">
        <v>46264</v>
      </c>
      <c r="B248" s="5" t="inlineStr">
        <is>
          <t>Aurelia Jewellery</t>
        </is>
      </c>
      <c r="C248" s="5" t="inlineStr">
        <is>
          <t>Luxury / Jewellery</t>
        </is>
      </c>
      <c r="D248" s="5" t="inlineStr">
        <is>
          <t>B2C</t>
        </is>
      </c>
      <c r="E248" s="5" t="inlineStr">
        <is>
          <t>Pinterest</t>
        </is>
      </c>
      <c r="F248" s="5" t="inlineStr">
        <is>
          <t>aureliajewellery.example.com</t>
        </is>
      </c>
      <c r="G248" s="8" t="n">
        <v>3545</v>
      </c>
      <c r="H248" s="8" t="n">
        <v>2360</v>
      </c>
      <c r="I248" s="8" t="n">
        <v>31</v>
      </c>
      <c r="J248" s="9">
        <f>I248/H248</f>
        <v/>
      </c>
      <c r="K248" s="8" t="n">
        <v>27</v>
      </c>
      <c r="L248" s="8" t="n">
        <v>0</v>
      </c>
      <c r="M248" s="5" t="inlineStr">
        <is>
          <t>N/A</t>
        </is>
      </c>
      <c r="N248" s="5" t="inlineStr">
        <is>
          <t>N/A</t>
        </is>
      </c>
      <c r="O248" s="8" t="inlineStr">
        <is>
          <t>N/A</t>
        </is>
      </c>
      <c r="P248" s="5" t="n">
        <v>0</v>
      </c>
      <c r="Q248" s="8">
        <f>IFERROR(G248/L248,0)</f>
        <v/>
      </c>
      <c r="R248" s="8" t="n">
        <v>13115</v>
      </c>
      <c r="S248" s="10">
        <f>IFERROR(R248/G248,0)</f>
        <v/>
      </c>
    </row>
    <row r="249">
      <c r="A249" s="7" t="n">
        <v>46265</v>
      </c>
      <c r="B249" s="5" t="inlineStr">
        <is>
          <t>Aurelia Jewellery</t>
        </is>
      </c>
      <c r="C249" s="5" t="inlineStr">
        <is>
          <t>Luxury / Jewellery</t>
        </is>
      </c>
      <c r="D249" s="5" t="inlineStr">
        <is>
          <t>B2C</t>
        </is>
      </c>
      <c r="E249" s="5" t="inlineStr">
        <is>
          <t>Pinterest</t>
        </is>
      </c>
      <c r="F249" s="5" t="inlineStr">
        <is>
          <t>aureliajewellery.example.com</t>
        </is>
      </c>
      <c r="G249" s="8" t="n">
        <v>3073</v>
      </c>
      <c r="H249" s="8" t="n">
        <v>2075</v>
      </c>
      <c r="I249" s="8" t="n">
        <v>27</v>
      </c>
      <c r="J249" s="9">
        <f>I249/H249</f>
        <v/>
      </c>
      <c r="K249" s="8" t="n">
        <v>26</v>
      </c>
      <c r="L249" s="8" t="n">
        <v>0</v>
      </c>
      <c r="M249" s="5" t="inlineStr">
        <is>
          <t>N/A</t>
        </is>
      </c>
      <c r="N249" s="5" t="inlineStr">
        <is>
          <t>N/A</t>
        </is>
      </c>
      <c r="O249" s="8" t="inlineStr">
        <is>
          <t>N/A</t>
        </is>
      </c>
      <c r="P249" s="5" t="n">
        <v>0</v>
      </c>
      <c r="Q249" s="8">
        <f>IFERROR(G249/L249,0)</f>
        <v/>
      </c>
      <c r="R249" s="8" t="n">
        <v>11532</v>
      </c>
      <c r="S249" s="10">
        <f>IFERROR(R249/G249,0)</f>
        <v/>
      </c>
    </row>
    <row r="250">
      <c r="A250" s="7" t="n">
        <v>46235</v>
      </c>
      <c r="B250" s="5" t="inlineStr">
        <is>
          <t>Aurelia Jewellery</t>
        </is>
      </c>
      <c r="C250" s="5" t="inlineStr">
        <is>
          <t>Luxury / Jewellery</t>
        </is>
      </c>
      <c r="D250" s="5" t="inlineStr">
        <is>
          <t>B2C</t>
        </is>
      </c>
      <c r="E250" s="5" t="inlineStr">
        <is>
          <t>Google Ads</t>
        </is>
      </c>
      <c r="F250" s="5" t="inlineStr">
        <is>
          <t>aureliajewellery.example.com</t>
        </is>
      </c>
      <c r="G250" s="8" t="n">
        <v>3126</v>
      </c>
      <c r="H250" s="8" t="n">
        <v>1413</v>
      </c>
      <c r="I250" s="8" t="n">
        <v>30</v>
      </c>
      <c r="J250" s="9">
        <f>I250/H250</f>
        <v/>
      </c>
      <c r="K250" s="8" t="n">
        <v>27</v>
      </c>
      <c r="L250" s="8" t="n">
        <v>1</v>
      </c>
      <c r="M250" s="5" t="inlineStr">
        <is>
          <t>N/A</t>
        </is>
      </c>
      <c r="N250" s="5" t="inlineStr">
        <is>
          <t>N/A</t>
        </is>
      </c>
      <c r="O250" s="8" t="inlineStr">
        <is>
          <t>N/A</t>
        </is>
      </c>
      <c r="P250" s="5" t="n">
        <v>1</v>
      </c>
      <c r="Q250" s="8">
        <f>IFERROR(G250/L250,0)</f>
        <v/>
      </c>
      <c r="R250" s="8" t="n">
        <v>15219</v>
      </c>
      <c r="S250" s="10">
        <f>IFERROR(R250/G250,0)</f>
        <v/>
      </c>
    </row>
    <row r="251">
      <c r="A251" s="7" t="n">
        <v>46236</v>
      </c>
      <c r="B251" s="5" t="inlineStr">
        <is>
          <t>Aurelia Jewellery</t>
        </is>
      </c>
      <c r="C251" s="5" t="inlineStr">
        <is>
          <t>Luxury / Jewellery</t>
        </is>
      </c>
      <c r="D251" s="5" t="inlineStr">
        <is>
          <t>B2C</t>
        </is>
      </c>
      <c r="E251" s="5" t="inlineStr">
        <is>
          <t>Google Ads</t>
        </is>
      </c>
      <c r="F251" s="5" t="inlineStr">
        <is>
          <t>aureliajewellery.example.com</t>
        </is>
      </c>
      <c r="G251" s="8" t="n">
        <v>3392</v>
      </c>
      <c r="H251" s="8" t="n">
        <v>1467</v>
      </c>
      <c r="I251" s="8" t="n">
        <v>31</v>
      </c>
      <c r="J251" s="9">
        <f>I251/H251</f>
        <v/>
      </c>
      <c r="K251" s="8" t="n">
        <v>30</v>
      </c>
      <c r="L251" s="8" t="n">
        <v>1</v>
      </c>
      <c r="M251" s="5" t="inlineStr">
        <is>
          <t>N/A</t>
        </is>
      </c>
      <c r="N251" s="5" t="inlineStr">
        <is>
          <t>N/A</t>
        </is>
      </c>
      <c r="O251" s="8" t="inlineStr">
        <is>
          <t>N/A</t>
        </is>
      </c>
      <c r="P251" s="5" t="n">
        <v>1</v>
      </c>
      <c r="Q251" s="8">
        <f>IFERROR(G251/L251,0)</f>
        <v/>
      </c>
      <c r="R251" s="8" t="n">
        <v>15802</v>
      </c>
      <c r="S251" s="10">
        <f>IFERROR(R251/G251,0)</f>
        <v/>
      </c>
    </row>
    <row r="252">
      <c r="A252" s="7" t="n">
        <v>46237</v>
      </c>
      <c r="B252" s="5" t="inlineStr">
        <is>
          <t>Aurelia Jewellery</t>
        </is>
      </c>
      <c r="C252" s="5" t="inlineStr">
        <is>
          <t>Luxury / Jewellery</t>
        </is>
      </c>
      <c r="D252" s="5" t="inlineStr">
        <is>
          <t>B2C</t>
        </is>
      </c>
      <c r="E252" s="5" t="inlineStr">
        <is>
          <t>Google Ads</t>
        </is>
      </c>
      <c r="F252" s="5" t="inlineStr">
        <is>
          <t>aureliajewellery.example.com</t>
        </is>
      </c>
      <c r="G252" s="8" t="n">
        <v>3428</v>
      </c>
      <c r="H252" s="8" t="n">
        <v>1602</v>
      </c>
      <c r="I252" s="8" t="n">
        <v>34</v>
      </c>
      <c r="J252" s="9">
        <f>I252/H252</f>
        <v/>
      </c>
      <c r="K252" s="8" t="n">
        <v>30</v>
      </c>
      <c r="L252" s="8" t="n">
        <v>1</v>
      </c>
      <c r="M252" s="5" t="inlineStr">
        <is>
          <t>N/A</t>
        </is>
      </c>
      <c r="N252" s="5" t="inlineStr">
        <is>
          <t>N/A</t>
        </is>
      </c>
      <c r="O252" s="8" t="inlineStr">
        <is>
          <t>N/A</t>
        </is>
      </c>
      <c r="P252" s="5" t="n">
        <v>1</v>
      </c>
      <c r="Q252" s="8">
        <f>IFERROR(G252/L252,0)</f>
        <v/>
      </c>
      <c r="R252" s="8" t="n">
        <v>17257</v>
      </c>
      <c r="S252" s="10">
        <f>IFERROR(R252/G252,0)</f>
        <v/>
      </c>
    </row>
    <row r="253">
      <c r="A253" s="7" t="n">
        <v>46238</v>
      </c>
      <c r="B253" s="5" t="inlineStr">
        <is>
          <t>Aurelia Jewellery</t>
        </is>
      </c>
      <c r="C253" s="5" t="inlineStr">
        <is>
          <t>Luxury / Jewellery</t>
        </is>
      </c>
      <c r="D253" s="5" t="inlineStr">
        <is>
          <t>B2C</t>
        </is>
      </c>
      <c r="E253" s="5" t="inlineStr">
        <is>
          <t>Google Ads</t>
        </is>
      </c>
      <c r="F253" s="5" t="inlineStr">
        <is>
          <t>aureliajewellery.example.com</t>
        </is>
      </c>
      <c r="G253" s="8" t="n">
        <v>3156</v>
      </c>
      <c r="H253" s="8" t="n">
        <v>1334</v>
      </c>
      <c r="I253" s="8" t="n">
        <v>28</v>
      </c>
      <c r="J253" s="9">
        <f>I253/H253</f>
        <v/>
      </c>
      <c r="K253" s="8" t="n">
        <v>26</v>
      </c>
      <c r="L253" s="8" t="n">
        <v>1</v>
      </c>
      <c r="M253" s="5" t="inlineStr">
        <is>
          <t>N/A</t>
        </is>
      </c>
      <c r="N253" s="5" t="inlineStr">
        <is>
          <t>N/A</t>
        </is>
      </c>
      <c r="O253" s="8" t="inlineStr">
        <is>
          <t>N/A</t>
        </is>
      </c>
      <c r="P253" s="5" t="n">
        <v>1</v>
      </c>
      <c r="Q253" s="8">
        <f>IFERROR(G253/L253,0)</f>
        <v/>
      </c>
      <c r="R253" s="8" t="n">
        <v>14370</v>
      </c>
      <c r="S253" s="10">
        <f>IFERROR(R253/G253,0)</f>
        <v/>
      </c>
    </row>
    <row r="254">
      <c r="A254" s="7" t="n">
        <v>46239</v>
      </c>
      <c r="B254" s="5" t="inlineStr">
        <is>
          <t>Aurelia Jewellery</t>
        </is>
      </c>
      <c r="C254" s="5" t="inlineStr">
        <is>
          <t>Luxury / Jewellery</t>
        </is>
      </c>
      <c r="D254" s="5" t="inlineStr">
        <is>
          <t>B2C</t>
        </is>
      </c>
      <c r="E254" s="5" t="inlineStr">
        <is>
          <t>Google Ads</t>
        </is>
      </c>
      <c r="F254" s="5" t="inlineStr">
        <is>
          <t>aureliajewellery.example.com</t>
        </is>
      </c>
      <c r="G254" s="8" t="n">
        <v>3528</v>
      </c>
      <c r="H254" s="8" t="n">
        <v>1379</v>
      </c>
      <c r="I254" s="8" t="n">
        <v>29</v>
      </c>
      <c r="J254" s="9">
        <f>I254/H254</f>
        <v/>
      </c>
      <c r="K254" s="8" t="n">
        <v>26</v>
      </c>
      <c r="L254" s="8" t="n">
        <v>1</v>
      </c>
      <c r="M254" s="5" t="inlineStr">
        <is>
          <t>N/A</t>
        </is>
      </c>
      <c r="N254" s="5" t="inlineStr">
        <is>
          <t>N/A</t>
        </is>
      </c>
      <c r="O254" s="8" t="inlineStr">
        <is>
          <t>N/A</t>
        </is>
      </c>
      <c r="P254" s="5" t="n">
        <v>1</v>
      </c>
      <c r="Q254" s="8">
        <f>IFERROR(G254/L254,0)</f>
        <v/>
      </c>
      <c r="R254" s="8" t="n">
        <v>14861</v>
      </c>
      <c r="S254" s="10">
        <f>IFERROR(R254/G254,0)</f>
        <v/>
      </c>
    </row>
    <row r="255">
      <c r="A255" s="7" t="n">
        <v>46240</v>
      </c>
      <c r="B255" s="5" t="inlineStr">
        <is>
          <t>Aurelia Jewellery</t>
        </is>
      </c>
      <c r="C255" s="5" t="inlineStr">
        <is>
          <t>Luxury / Jewellery</t>
        </is>
      </c>
      <c r="D255" s="5" t="inlineStr">
        <is>
          <t>B2C</t>
        </is>
      </c>
      <c r="E255" s="5" t="inlineStr">
        <is>
          <t>Google Ads</t>
        </is>
      </c>
      <c r="F255" s="5" t="inlineStr">
        <is>
          <t>aureliajewellery.example.com</t>
        </is>
      </c>
      <c r="G255" s="8" t="n">
        <v>3567</v>
      </c>
      <c r="H255" s="8" t="n">
        <v>1516</v>
      </c>
      <c r="I255" s="8" t="n">
        <v>32</v>
      </c>
      <c r="J255" s="9">
        <f>I255/H255</f>
        <v/>
      </c>
      <c r="K255" s="8" t="n">
        <v>30</v>
      </c>
      <c r="L255" s="8" t="n">
        <v>1</v>
      </c>
      <c r="M255" s="5" t="inlineStr">
        <is>
          <t>N/A</t>
        </is>
      </c>
      <c r="N255" s="5" t="inlineStr">
        <is>
          <t>N/A</t>
        </is>
      </c>
      <c r="O255" s="8" t="inlineStr">
        <is>
          <t>N/A</t>
        </is>
      </c>
      <c r="P255" s="5" t="n">
        <v>1</v>
      </c>
      <c r="Q255" s="8">
        <f>IFERROR(G255/L255,0)</f>
        <v/>
      </c>
      <c r="R255" s="8" t="n">
        <v>16329</v>
      </c>
      <c r="S255" s="10">
        <f>IFERROR(R255/G255,0)</f>
        <v/>
      </c>
    </row>
    <row r="256">
      <c r="A256" s="7" t="n">
        <v>46241</v>
      </c>
      <c r="B256" s="5" t="inlineStr">
        <is>
          <t>Aurelia Jewellery</t>
        </is>
      </c>
      <c r="C256" s="5" t="inlineStr">
        <is>
          <t>Luxury / Jewellery</t>
        </is>
      </c>
      <c r="D256" s="5" t="inlineStr">
        <is>
          <t>B2C</t>
        </is>
      </c>
      <c r="E256" s="5" t="inlineStr">
        <is>
          <t>Google Ads</t>
        </is>
      </c>
      <c r="F256" s="5" t="inlineStr">
        <is>
          <t>aureliajewellery.example.com</t>
        </is>
      </c>
      <c r="G256" s="8" t="n">
        <v>3632</v>
      </c>
      <c r="H256" s="8" t="n">
        <v>962</v>
      </c>
      <c r="I256" s="8" t="n">
        <v>20</v>
      </c>
      <c r="J256" s="9">
        <f>I256/H256</f>
        <v/>
      </c>
      <c r="K256" s="8" t="n">
        <v>19</v>
      </c>
      <c r="L256" s="8" t="n">
        <v>0</v>
      </c>
      <c r="M256" s="5" t="inlineStr">
        <is>
          <t>N/A</t>
        </is>
      </c>
      <c r="N256" s="5" t="inlineStr">
        <is>
          <t>N/A</t>
        </is>
      </c>
      <c r="O256" s="8" t="inlineStr">
        <is>
          <t>N/A</t>
        </is>
      </c>
      <c r="P256" s="5" t="n">
        <v>0</v>
      </c>
      <c r="Q256" s="8">
        <f>IFERROR(G256/L256,0)</f>
        <v/>
      </c>
      <c r="R256" s="8" t="n">
        <v>10360</v>
      </c>
      <c r="S256" s="10">
        <f>IFERROR(R256/G256,0)</f>
        <v/>
      </c>
    </row>
    <row r="257">
      <c r="A257" s="7" t="n">
        <v>46242</v>
      </c>
      <c r="B257" s="5" t="inlineStr">
        <is>
          <t>Aurelia Jewellery</t>
        </is>
      </c>
      <c r="C257" s="5" t="inlineStr">
        <is>
          <t>Luxury / Jewellery</t>
        </is>
      </c>
      <c r="D257" s="5" t="inlineStr">
        <is>
          <t>B2C</t>
        </is>
      </c>
      <c r="E257" s="5" t="inlineStr">
        <is>
          <t>Google Ads</t>
        </is>
      </c>
      <c r="F257" s="5" t="inlineStr">
        <is>
          <t>aureliajewellery.example.com</t>
        </is>
      </c>
      <c r="G257" s="8" t="n">
        <v>3422</v>
      </c>
      <c r="H257" s="8" t="n">
        <v>1462</v>
      </c>
      <c r="I257" s="8" t="n">
        <v>31</v>
      </c>
      <c r="J257" s="9">
        <f>I257/H257</f>
        <v/>
      </c>
      <c r="K257" s="8" t="n">
        <v>28</v>
      </c>
      <c r="L257" s="8" t="n">
        <v>1</v>
      </c>
      <c r="M257" s="5" t="inlineStr">
        <is>
          <t>N/A</t>
        </is>
      </c>
      <c r="N257" s="5" t="inlineStr">
        <is>
          <t>N/A</t>
        </is>
      </c>
      <c r="O257" s="8" t="inlineStr">
        <is>
          <t>N/A</t>
        </is>
      </c>
      <c r="P257" s="5" t="n">
        <v>1</v>
      </c>
      <c r="Q257" s="8">
        <f>IFERROR(G257/L257,0)</f>
        <v/>
      </c>
      <c r="R257" s="8" t="n">
        <v>15750</v>
      </c>
      <c r="S257" s="10">
        <f>IFERROR(R257/G257,0)</f>
        <v/>
      </c>
    </row>
    <row r="258">
      <c r="A258" s="7" t="n">
        <v>46243</v>
      </c>
      <c r="B258" s="5" t="inlineStr">
        <is>
          <t>Aurelia Jewellery</t>
        </is>
      </c>
      <c r="C258" s="5" t="inlineStr">
        <is>
          <t>Luxury / Jewellery</t>
        </is>
      </c>
      <c r="D258" s="5" t="inlineStr">
        <is>
          <t>B2C</t>
        </is>
      </c>
      <c r="E258" s="5" t="inlineStr">
        <is>
          <t>Google Ads</t>
        </is>
      </c>
      <c r="F258" s="5" t="inlineStr">
        <is>
          <t>aureliajewellery.example.com</t>
        </is>
      </c>
      <c r="G258" s="8" t="n">
        <v>3615</v>
      </c>
      <c r="H258" s="8" t="n">
        <v>830</v>
      </c>
      <c r="I258" s="8" t="n">
        <v>17</v>
      </c>
      <c r="J258" s="9">
        <f>I258/H258</f>
        <v/>
      </c>
      <c r="K258" s="8" t="n">
        <v>17</v>
      </c>
      <c r="L258" s="8" t="n">
        <v>0</v>
      </c>
      <c r="M258" s="5" t="inlineStr">
        <is>
          <t>N/A</t>
        </is>
      </c>
      <c r="N258" s="5" t="inlineStr">
        <is>
          <t>N/A</t>
        </is>
      </c>
      <c r="O258" s="8" t="inlineStr">
        <is>
          <t>N/A</t>
        </is>
      </c>
      <c r="P258" s="5" t="n">
        <v>0</v>
      </c>
      <c r="Q258" s="8">
        <f>IFERROR(G258/L258,0)</f>
        <v/>
      </c>
      <c r="R258" s="8" t="n">
        <v>8942</v>
      </c>
      <c r="S258" s="10">
        <f>IFERROR(R258/G258,0)</f>
        <v/>
      </c>
    </row>
    <row r="259">
      <c r="A259" s="7" t="n">
        <v>46244</v>
      </c>
      <c r="B259" s="5" t="inlineStr">
        <is>
          <t>Aurelia Jewellery</t>
        </is>
      </c>
      <c r="C259" s="5" t="inlineStr">
        <is>
          <t>Luxury / Jewellery</t>
        </is>
      </c>
      <c r="D259" s="5" t="inlineStr">
        <is>
          <t>B2C</t>
        </is>
      </c>
      <c r="E259" s="5" t="inlineStr">
        <is>
          <t>Google Ads</t>
        </is>
      </c>
      <c r="F259" s="5" t="inlineStr">
        <is>
          <t>aureliajewellery.example.com</t>
        </is>
      </c>
      <c r="G259" s="8" t="n">
        <v>2866</v>
      </c>
      <c r="H259" s="8" t="n">
        <v>928</v>
      </c>
      <c r="I259" s="8" t="n">
        <v>19</v>
      </c>
      <c r="J259" s="9">
        <f>I259/H259</f>
        <v/>
      </c>
      <c r="K259" s="8" t="n">
        <v>17</v>
      </c>
      <c r="L259" s="8" t="n">
        <v>0</v>
      </c>
      <c r="M259" s="5" t="inlineStr">
        <is>
          <t>N/A</t>
        </is>
      </c>
      <c r="N259" s="5" t="inlineStr">
        <is>
          <t>N/A</t>
        </is>
      </c>
      <c r="O259" s="8" t="inlineStr">
        <is>
          <t>N/A</t>
        </is>
      </c>
      <c r="P259" s="5" t="n">
        <v>0</v>
      </c>
      <c r="Q259" s="8">
        <f>IFERROR(G259/L259,0)</f>
        <v/>
      </c>
      <c r="R259" s="8" t="n">
        <v>10001</v>
      </c>
      <c r="S259" s="10">
        <f>IFERROR(R259/G259,0)</f>
        <v/>
      </c>
    </row>
    <row r="260">
      <c r="A260" s="7" t="n">
        <v>46245</v>
      </c>
      <c r="B260" s="5" t="inlineStr">
        <is>
          <t>Aurelia Jewellery</t>
        </is>
      </c>
      <c r="C260" s="5" t="inlineStr">
        <is>
          <t>Luxury / Jewellery</t>
        </is>
      </c>
      <c r="D260" s="5" t="inlineStr">
        <is>
          <t>B2C</t>
        </is>
      </c>
      <c r="E260" s="5" t="inlineStr">
        <is>
          <t>Google Ads</t>
        </is>
      </c>
      <c r="F260" s="5" t="inlineStr">
        <is>
          <t>aureliajewellery.example.com</t>
        </is>
      </c>
      <c r="G260" s="8" t="n">
        <v>3227</v>
      </c>
      <c r="H260" s="8" t="n">
        <v>1389</v>
      </c>
      <c r="I260" s="8" t="n">
        <v>29</v>
      </c>
      <c r="J260" s="9">
        <f>I260/H260</f>
        <v/>
      </c>
      <c r="K260" s="8" t="n">
        <v>25</v>
      </c>
      <c r="L260" s="8" t="n">
        <v>1</v>
      </c>
      <c r="M260" s="5" t="inlineStr">
        <is>
          <t>N/A</t>
        </is>
      </c>
      <c r="N260" s="5" t="inlineStr">
        <is>
          <t>N/A</t>
        </is>
      </c>
      <c r="O260" s="8" t="inlineStr">
        <is>
          <t>N/A</t>
        </is>
      </c>
      <c r="P260" s="5" t="n">
        <v>1</v>
      </c>
      <c r="Q260" s="8">
        <f>IFERROR(G260/L260,0)</f>
        <v/>
      </c>
      <c r="R260" s="8" t="n">
        <v>14967</v>
      </c>
      <c r="S260" s="10">
        <f>IFERROR(R260/G260,0)</f>
        <v/>
      </c>
    </row>
    <row r="261">
      <c r="A261" s="7" t="n">
        <v>46246</v>
      </c>
      <c r="B261" s="5" t="inlineStr">
        <is>
          <t>Aurelia Jewellery</t>
        </is>
      </c>
      <c r="C261" s="5" t="inlineStr">
        <is>
          <t>Luxury / Jewellery</t>
        </is>
      </c>
      <c r="D261" s="5" t="inlineStr">
        <is>
          <t>B2C</t>
        </is>
      </c>
      <c r="E261" s="5" t="inlineStr">
        <is>
          <t>Google Ads</t>
        </is>
      </c>
      <c r="F261" s="5" t="inlineStr">
        <is>
          <t>aureliajewellery.example.com</t>
        </is>
      </c>
      <c r="G261" s="8" t="n">
        <v>3100</v>
      </c>
      <c r="H261" s="8" t="n">
        <v>1339</v>
      </c>
      <c r="I261" s="8" t="n">
        <v>28</v>
      </c>
      <c r="J261" s="9">
        <f>I261/H261</f>
        <v/>
      </c>
      <c r="K261" s="8" t="n">
        <v>26</v>
      </c>
      <c r="L261" s="8" t="n">
        <v>1</v>
      </c>
      <c r="M261" s="5" t="inlineStr">
        <is>
          <t>N/A</t>
        </is>
      </c>
      <c r="N261" s="5" t="inlineStr">
        <is>
          <t>N/A</t>
        </is>
      </c>
      <c r="O261" s="8" t="inlineStr">
        <is>
          <t>N/A</t>
        </is>
      </c>
      <c r="P261" s="5" t="n">
        <v>1</v>
      </c>
      <c r="Q261" s="8">
        <f>IFERROR(G261/L261,0)</f>
        <v/>
      </c>
      <c r="R261" s="8" t="n">
        <v>14420</v>
      </c>
      <c r="S261" s="10">
        <f>IFERROR(R261/G261,0)</f>
        <v/>
      </c>
    </row>
    <row r="262">
      <c r="A262" s="7" t="n">
        <v>46247</v>
      </c>
      <c r="B262" s="5" t="inlineStr">
        <is>
          <t>Aurelia Jewellery</t>
        </is>
      </c>
      <c r="C262" s="5" t="inlineStr">
        <is>
          <t>Luxury / Jewellery</t>
        </is>
      </c>
      <c r="D262" s="5" t="inlineStr">
        <is>
          <t>B2C</t>
        </is>
      </c>
      <c r="E262" s="5" t="inlineStr">
        <is>
          <t>Google Ads</t>
        </is>
      </c>
      <c r="F262" s="5" t="inlineStr">
        <is>
          <t>aureliajewellery.example.com</t>
        </is>
      </c>
      <c r="G262" s="8" t="n">
        <v>3328</v>
      </c>
      <c r="H262" s="8" t="n">
        <v>1169</v>
      </c>
      <c r="I262" s="8" t="n">
        <v>25</v>
      </c>
      <c r="J262" s="9">
        <f>I262/H262</f>
        <v/>
      </c>
      <c r="K262" s="8" t="n">
        <v>24</v>
      </c>
      <c r="L262" s="8" t="n">
        <v>0</v>
      </c>
      <c r="M262" s="5" t="inlineStr">
        <is>
          <t>N/A</t>
        </is>
      </c>
      <c r="N262" s="5" t="inlineStr">
        <is>
          <t>N/A</t>
        </is>
      </c>
      <c r="O262" s="8" t="inlineStr">
        <is>
          <t>N/A</t>
        </is>
      </c>
      <c r="P262" s="5" t="n">
        <v>0</v>
      </c>
      <c r="Q262" s="8">
        <f>IFERROR(G262/L262,0)</f>
        <v/>
      </c>
      <c r="R262" s="8" t="n">
        <v>12599</v>
      </c>
      <c r="S262" s="10">
        <f>IFERROR(R262/G262,0)</f>
        <v/>
      </c>
    </row>
    <row r="263">
      <c r="A263" s="7" t="n">
        <v>46248</v>
      </c>
      <c r="B263" s="5" t="inlineStr">
        <is>
          <t>Aurelia Jewellery</t>
        </is>
      </c>
      <c r="C263" s="5" t="inlineStr">
        <is>
          <t>Luxury / Jewellery</t>
        </is>
      </c>
      <c r="D263" s="5" t="inlineStr">
        <is>
          <t>B2C</t>
        </is>
      </c>
      <c r="E263" s="5" t="inlineStr">
        <is>
          <t>Google Ads</t>
        </is>
      </c>
      <c r="F263" s="5" t="inlineStr">
        <is>
          <t>aureliajewellery.example.com</t>
        </is>
      </c>
      <c r="G263" s="8" t="n">
        <v>3168</v>
      </c>
      <c r="H263" s="8" t="n">
        <v>1183</v>
      </c>
      <c r="I263" s="8" t="n">
        <v>25</v>
      </c>
      <c r="J263" s="9">
        <f>I263/H263</f>
        <v/>
      </c>
      <c r="K263" s="8" t="n">
        <v>21</v>
      </c>
      <c r="L263" s="8" t="n">
        <v>0</v>
      </c>
      <c r="M263" s="5" t="inlineStr">
        <is>
          <t>N/A</t>
        </is>
      </c>
      <c r="N263" s="5" t="inlineStr">
        <is>
          <t>N/A</t>
        </is>
      </c>
      <c r="O263" s="8" t="inlineStr">
        <is>
          <t>N/A</t>
        </is>
      </c>
      <c r="P263" s="5" t="n">
        <v>0</v>
      </c>
      <c r="Q263" s="8">
        <f>IFERROR(G263/L263,0)</f>
        <v/>
      </c>
      <c r="R263" s="8" t="n">
        <v>12748</v>
      </c>
      <c r="S263" s="10">
        <f>IFERROR(R263/G263,0)</f>
        <v/>
      </c>
    </row>
    <row r="264">
      <c r="A264" s="7" t="n">
        <v>46249</v>
      </c>
      <c r="B264" s="5" t="inlineStr">
        <is>
          <t>Aurelia Jewellery</t>
        </is>
      </c>
      <c r="C264" s="5" t="inlineStr">
        <is>
          <t>Luxury / Jewellery</t>
        </is>
      </c>
      <c r="D264" s="5" t="inlineStr">
        <is>
          <t>B2C</t>
        </is>
      </c>
      <c r="E264" s="5" t="inlineStr">
        <is>
          <t>Google Ads</t>
        </is>
      </c>
      <c r="F264" s="5" t="inlineStr">
        <is>
          <t>aureliajewellery.example.com</t>
        </is>
      </c>
      <c r="G264" s="8" t="n">
        <v>3262</v>
      </c>
      <c r="H264" s="8" t="n">
        <v>1551</v>
      </c>
      <c r="I264" s="8" t="n">
        <v>33</v>
      </c>
      <c r="J264" s="9">
        <f>I264/H264</f>
        <v/>
      </c>
      <c r="K264" s="8" t="n">
        <v>30</v>
      </c>
      <c r="L264" s="8" t="n">
        <v>1</v>
      </c>
      <c r="M264" s="5" t="inlineStr">
        <is>
          <t>N/A</t>
        </is>
      </c>
      <c r="N264" s="5" t="inlineStr">
        <is>
          <t>N/A</t>
        </is>
      </c>
      <c r="O264" s="8" t="inlineStr">
        <is>
          <t>N/A</t>
        </is>
      </c>
      <c r="P264" s="5" t="n">
        <v>1</v>
      </c>
      <c r="Q264" s="8">
        <f>IFERROR(G264/L264,0)</f>
        <v/>
      </c>
      <c r="R264" s="8" t="n">
        <v>16711</v>
      </c>
      <c r="S264" s="10">
        <f>IFERROR(R264/G264,0)</f>
        <v/>
      </c>
    </row>
    <row r="265">
      <c r="A265" s="7" t="n">
        <v>46250</v>
      </c>
      <c r="B265" s="5" t="inlineStr">
        <is>
          <t>Aurelia Jewellery</t>
        </is>
      </c>
      <c r="C265" s="5" t="inlineStr">
        <is>
          <t>Luxury / Jewellery</t>
        </is>
      </c>
      <c r="D265" s="5" t="inlineStr">
        <is>
          <t>B2C</t>
        </is>
      </c>
      <c r="E265" s="5" t="inlineStr">
        <is>
          <t>Google Ads</t>
        </is>
      </c>
      <c r="F265" s="5" t="inlineStr">
        <is>
          <t>aureliajewellery.example.com</t>
        </is>
      </c>
      <c r="G265" s="8" t="n">
        <v>3735</v>
      </c>
      <c r="H265" s="8" t="n">
        <v>1437</v>
      </c>
      <c r="I265" s="8" t="n">
        <v>30</v>
      </c>
      <c r="J265" s="9">
        <f>I265/H265</f>
        <v/>
      </c>
      <c r="K265" s="8" t="n">
        <v>29</v>
      </c>
      <c r="L265" s="8" t="n">
        <v>1</v>
      </c>
      <c r="M265" s="5" t="inlineStr">
        <is>
          <t>N/A</t>
        </is>
      </c>
      <c r="N265" s="5" t="inlineStr">
        <is>
          <t>N/A</t>
        </is>
      </c>
      <c r="O265" s="8" t="inlineStr">
        <is>
          <t>N/A</t>
        </is>
      </c>
      <c r="P265" s="5" t="n">
        <v>1</v>
      </c>
      <c r="Q265" s="8">
        <f>IFERROR(G265/L265,0)</f>
        <v/>
      </c>
      <c r="R265" s="8" t="n">
        <v>15479</v>
      </c>
      <c r="S265" s="10">
        <f>IFERROR(R265/G265,0)</f>
        <v/>
      </c>
    </row>
    <row r="266">
      <c r="A266" s="7" t="n">
        <v>46251</v>
      </c>
      <c r="B266" s="5" t="inlineStr">
        <is>
          <t>Aurelia Jewellery</t>
        </is>
      </c>
      <c r="C266" s="5" t="inlineStr">
        <is>
          <t>Luxury / Jewellery</t>
        </is>
      </c>
      <c r="D266" s="5" t="inlineStr">
        <is>
          <t>B2C</t>
        </is>
      </c>
      <c r="E266" s="5" t="inlineStr">
        <is>
          <t>Google Ads</t>
        </is>
      </c>
      <c r="F266" s="5" t="inlineStr">
        <is>
          <t>aureliajewellery.example.com</t>
        </is>
      </c>
      <c r="G266" s="8" t="n">
        <v>3261</v>
      </c>
      <c r="H266" s="8" t="n">
        <v>1690</v>
      </c>
      <c r="I266" s="8" t="n">
        <v>35</v>
      </c>
      <c r="J266" s="9">
        <f>I266/H266</f>
        <v/>
      </c>
      <c r="K266" s="8" t="n">
        <v>34</v>
      </c>
      <c r="L266" s="8" t="n">
        <v>1</v>
      </c>
      <c r="M266" s="5" t="inlineStr">
        <is>
          <t>N/A</t>
        </is>
      </c>
      <c r="N266" s="5" t="inlineStr">
        <is>
          <t>N/A</t>
        </is>
      </c>
      <c r="O266" s="8" t="inlineStr">
        <is>
          <t>N/A</t>
        </is>
      </c>
      <c r="P266" s="5" t="n">
        <v>1</v>
      </c>
      <c r="Q266" s="8">
        <f>IFERROR(G266/L266,0)</f>
        <v/>
      </c>
      <c r="R266" s="8" t="n">
        <v>18209</v>
      </c>
      <c r="S266" s="10">
        <f>IFERROR(R266/G266,0)</f>
        <v/>
      </c>
    </row>
    <row r="267">
      <c r="A267" s="7" t="n">
        <v>46252</v>
      </c>
      <c r="B267" s="5" t="inlineStr">
        <is>
          <t>Aurelia Jewellery</t>
        </is>
      </c>
      <c r="C267" s="5" t="inlineStr">
        <is>
          <t>Luxury / Jewellery</t>
        </is>
      </c>
      <c r="D267" s="5" t="inlineStr">
        <is>
          <t>B2C</t>
        </is>
      </c>
      <c r="E267" s="5" t="inlineStr">
        <is>
          <t>Google Ads</t>
        </is>
      </c>
      <c r="F267" s="5" t="inlineStr">
        <is>
          <t>aureliajewellery.example.com</t>
        </is>
      </c>
      <c r="G267" s="8" t="n">
        <v>3396</v>
      </c>
      <c r="H267" s="8" t="n">
        <v>1387</v>
      </c>
      <c r="I267" s="8" t="n">
        <v>29</v>
      </c>
      <c r="J267" s="9">
        <f>I267/H267</f>
        <v/>
      </c>
      <c r="K267" s="8" t="n">
        <v>29</v>
      </c>
      <c r="L267" s="8" t="n">
        <v>1</v>
      </c>
      <c r="M267" s="5" t="inlineStr">
        <is>
          <t>N/A</t>
        </is>
      </c>
      <c r="N267" s="5" t="inlineStr">
        <is>
          <t>N/A</t>
        </is>
      </c>
      <c r="O267" s="8" t="inlineStr">
        <is>
          <t>N/A</t>
        </is>
      </c>
      <c r="P267" s="5" t="n">
        <v>1</v>
      </c>
      <c r="Q267" s="8">
        <f>IFERROR(G267/L267,0)</f>
        <v/>
      </c>
      <c r="R267" s="8" t="n">
        <v>14937</v>
      </c>
      <c r="S267" s="10">
        <f>IFERROR(R267/G267,0)</f>
        <v/>
      </c>
    </row>
    <row r="268">
      <c r="A268" s="7" t="n">
        <v>46253</v>
      </c>
      <c r="B268" s="5" t="inlineStr">
        <is>
          <t>Aurelia Jewellery</t>
        </is>
      </c>
      <c r="C268" s="5" t="inlineStr">
        <is>
          <t>Luxury / Jewellery</t>
        </is>
      </c>
      <c r="D268" s="5" t="inlineStr">
        <is>
          <t>B2C</t>
        </is>
      </c>
      <c r="E268" s="5" t="inlineStr">
        <is>
          <t>Google Ads</t>
        </is>
      </c>
      <c r="F268" s="5" t="inlineStr">
        <is>
          <t>aureliajewellery.example.com</t>
        </is>
      </c>
      <c r="G268" s="8" t="n">
        <v>3246</v>
      </c>
      <c r="H268" s="8" t="n">
        <v>1391</v>
      </c>
      <c r="I268" s="8" t="n">
        <v>29</v>
      </c>
      <c r="J268" s="9">
        <f>I268/H268</f>
        <v/>
      </c>
      <c r="K268" s="8" t="n">
        <v>27</v>
      </c>
      <c r="L268" s="8" t="n">
        <v>1</v>
      </c>
      <c r="M268" s="5" t="inlineStr">
        <is>
          <t>N/A</t>
        </is>
      </c>
      <c r="N268" s="5" t="inlineStr">
        <is>
          <t>N/A</t>
        </is>
      </c>
      <c r="O268" s="8" t="inlineStr">
        <is>
          <t>N/A</t>
        </is>
      </c>
      <c r="P268" s="5" t="n">
        <v>1</v>
      </c>
      <c r="Q268" s="8">
        <f>IFERROR(G268/L268,0)</f>
        <v/>
      </c>
      <c r="R268" s="8" t="n">
        <v>14983</v>
      </c>
      <c r="S268" s="10">
        <f>IFERROR(R268/G268,0)</f>
        <v/>
      </c>
    </row>
    <row r="269">
      <c r="A269" s="7" t="n">
        <v>46254</v>
      </c>
      <c r="B269" s="5" t="inlineStr">
        <is>
          <t>Aurelia Jewellery</t>
        </is>
      </c>
      <c r="C269" s="5" t="inlineStr">
        <is>
          <t>Luxury / Jewellery</t>
        </is>
      </c>
      <c r="D269" s="5" t="inlineStr">
        <is>
          <t>B2C</t>
        </is>
      </c>
      <c r="E269" s="5" t="inlineStr">
        <is>
          <t>Google Ads</t>
        </is>
      </c>
      <c r="F269" s="5" t="inlineStr">
        <is>
          <t>aureliajewellery.example.com</t>
        </is>
      </c>
      <c r="G269" s="8" t="n">
        <v>3317</v>
      </c>
      <c r="H269" s="8" t="n">
        <v>1618</v>
      </c>
      <c r="I269" s="8" t="n">
        <v>34</v>
      </c>
      <c r="J269" s="9">
        <f>I269/H269</f>
        <v/>
      </c>
      <c r="K269" s="8" t="n">
        <v>32</v>
      </c>
      <c r="L269" s="8" t="n">
        <v>1</v>
      </c>
      <c r="M269" s="5" t="inlineStr">
        <is>
          <t>N/A</t>
        </is>
      </c>
      <c r="N269" s="5" t="inlineStr">
        <is>
          <t>N/A</t>
        </is>
      </c>
      <c r="O269" s="8" t="inlineStr">
        <is>
          <t>N/A</t>
        </is>
      </c>
      <c r="P269" s="5" t="n">
        <v>1</v>
      </c>
      <c r="Q269" s="8">
        <f>IFERROR(G269/L269,0)</f>
        <v/>
      </c>
      <c r="R269" s="8" t="n">
        <v>17429</v>
      </c>
      <c r="S269" s="10">
        <f>IFERROR(R269/G269,0)</f>
        <v/>
      </c>
    </row>
    <row r="270">
      <c r="A270" s="7" t="n">
        <v>46255</v>
      </c>
      <c r="B270" s="5" t="inlineStr">
        <is>
          <t>Aurelia Jewellery</t>
        </is>
      </c>
      <c r="C270" s="5" t="inlineStr">
        <is>
          <t>Luxury / Jewellery</t>
        </is>
      </c>
      <c r="D270" s="5" t="inlineStr">
        <is>
          <t>B2C</t>
        </is>
      </c>
      <c r="E270" s="5" t="inlineStr">
        <is>
          <t>Google Ads</t>
        </is>
      </c>
      <c r="F270" s="5" t="inlineStr">
        <is>
          <t>aureliajewellery.example.com</t>
        </is>
      </c>
      <c r="G270" s="8" t="n">
        <v>3301</v>
      </c>
      <c r="H270" s="8" t="n">
        <v>1370</v>
      </c>
      <c r="I270" s="8" t="n">
        <v>29</v>
      </c>
      <c r="J270" s="9">
        <f>I270/H270</f>
        <v/>
      </c>
      <c r="K270" s="8" t="n">
        <v>26</v>
      </c>
      <c r="L270" s="8" t="n">
        <v>1</v>
      </c>
      <c r="M270" s="5" t="inlineStr">
        <is>
          <t>N/A</t>
        </is>
      </c>
      <c r="N270" s="5" t="inlineStr">
        <is>
          <t>N/A</t>
        </is>
      </c>
      <c r="O270" s="8" t="inlineStr">
        <is>
          <t>N/A</t>
        </is>
      </c>
      <c r="P270" s="5" t="n">
        <v>1</v>
      </c>
      <c r="Q270" s="8">
        <f>IFERROR(G270/L270,0)</f>
        <v/>
      </c>
      <c r="R270" s="8" t="n">
        <v>14755</v>
      </c>
      <c r="S270" s="10">
        <f>IFERROR(R270/G270,0)</f>
        <v/>
      </c>
    </row>
    <row r="271">
      <c r="A271" s="7" t="n">
        <v>46256</v>
      </c>
      <c r="B271" s="5" t="inlineStr">
        <is>
          <t>Aurelia Jewellery</t>
        </is>
      </c>
      <c r="C271" s="5" t="inlineStr">
        <is>
          <t>Luxury / Jewellery</t>
        </is>
      </c>
      <c r="D271" s="5" t="inlineStr">
        <is>
          <t>B2C</t>
        </is>
      </c>
      <c r="E271" s="5" t="inlineStr">
        <is>
          <t>Google Ads</t>
        </is>
      </c>
      <c r="F271" s="5" t="inlineStr">
        <is>
          <t>aureliajewellery.example.com</t>
        </is>
      </c>
      <c r="G271" s="8" t="n">
        <v>3404</v>
      </c>
      <c r="H271" s="8" t="n">
        <v>1223</v>
      </c>
      <c r="I271" s="8" t="n">
        <v>26</v>
      </c>
      <c r="J271" s="9">
        <f>I271/H271</f>
        <v/>
      </c>
      <c r="K271" s="8" t="n">
        <v>25</v>
      </c>
      <c r="L271" s="8" t="n">
        <v>0</v>
      </c>
      <c r="M271" s="5" t="inlineStr">
        <is>
          <t>N/A</t>
        </is>
      </c>
      <c r="N271" s="5" t="inlineStr">
        <is>
          <t>N/A</t>
        </is>
      </c>
      <c r="O271" s="8" t="inlineStr">
        <is>
          <t>N/A</t>
        </is>
      </c>
      <c r="P271" s="5" t="n">
        <v>0</v>
      </c>
      <c r="Q271" s="8">
        <f>IFERROR(G271/L271,0)</f>
        <v/>
      </c>
      <c r="R271" s="8" t="n">
        <v>13174</v>
      </c>
      <c r="S271" s="10">
        <f>IFERROR(R271/G271,0)</f>
        <v/>
      </c>
    </row>
    <row r="272">
      <c r="A272" s="7" t="n">
        <v>46257</v>
      </c>
      <c r="B272" s="5" t="inlineStr">
        <is>
          <t>Aurelia Jewellery</t>
        </is>
      </c>
      <c r="C272" s="5" t="inlineStr">
        <is>
          <t>Luxury / Jewellery</t>
        </is>
      </c>
      <c r="D272" s="5" t="inlineStr">
        <is>
          <t>B2C</t>
        </is>
      </c>
      <c r="E272" s="5" t="inlineStr">
        <is>
          <t>Google Ads</t>
        </is>
      </c>
      <c r="F272" s="5" t="inlineStr">
        <is>
          <t>aureliajewellery.example.com</t>
        </is>
      </c>
      <c r="G272" s="8" t="n">
        <v>3569</v>
      </c>
      <c r="H272" s="8" t="n">
        <v>1439</v>
      </c>
      <c r="I272" s="8" t="n">
        <v>30</v>
      </c>
      <c r="J272" s="9">
        <f>I272/H272</f>
        <v/>
      </c>
      <c r="K272" s="8" t="n">
        <v>27</v>
      </c>
      <c r="L272" s="8" t="n">
        <v>1</v>
      </c>
      <c r="M272" s="5" t="inlineStr">
        <is>
          <t>N/A</t>
        </is>
      </c>
      <c r="N272" s="5" t="inlineStr">
        <is>
          <t>N/A</t>
        </is>
      </c>
      <c r="O272" s="8" t="inlineStr">
        <is>
          <t>N/A</t>
        </is>
      </c>
      <c r="P272" s="5" t="n">
        <v>1</v>
      </c>
      <c r="Q272" s="8">
        <f>IFERROR(G272/L272,0)</f>
        <v/>
      </c>
      <c r="R272" s="8" t="n">
        <v>15498</v>
      </c>
      <c r="S272" s="10">
        <f>IFERROR(R272/G272,0)</f>
        <v/>
      </c>
    </row>
    <row r="273">
      <c r="A273" s="7" t="n">
        <v>46258</v>
      </c>
      <c r="B273" s="5" t="inlineStr">
        <is>
          <t>Aurelia Jewellery</t>
        </is>
      </c>
      <c r="C273" s="5" t="inlineStr">
        <is>
          <t>Luxury / Jewellery</t>
        </is>
      </c>
      <c r="D273" s="5" t="inlineStr">
        <is>
          <t>B2C</t>
        </is>
      </c>
      <c r="E273" s="5" t="inlineStr">
        <is>
          <t>Google Ads</t>
        </is>
      </c>
      <c r="F273" s="5" t="inlineStr">
        <is>
          <t>aureliajewellery.example.com</t>
        </is>
      </c>
      <c r="G273" s="8" t="n">
        <v>3681</v>
      </c>
      <c r="H273" s="8" t="n">
        <v>1497</v>
      </c>
      <c r="I273" s="8" t="n">
        <v>31</v>
      </c>
      <c r="J273" s="9">
        <f>I273/H273</f>
        <v/>
      </c>
      <c r="K273" s="8" t="n">
        <v>30</v>
      </c>
      <c r="L273" s="8" t="n">
        <v>1</v>
      </c>
      <c r="M273" s="5" t="inlineStr">
        <is>
          <t>N/A</t>
        </is>
      </c>
      <c r="N273" s="5" t="inlineStr">
        <is>
          <t>N/A</t>
        </is>
      </c>
      <c r="O273" s="8" t="inlineStr">
        <is>
          <t>N/A</t>
        </is>
      </c>
      <c r="P273" s="5" t="n">
        <v>1</v>
      </c>
      <c r="Q273" s="8">
        <f>IFERROR(G273/L273,0)</f>
        <v/>
      </c>
      <c r="R273" s="8" t="n">
        <v>16125</v>
      </c>
      <c r="S273" s="10">
        <f>IFERROR(R273/G273,0)</f>
        <v/>
      </c>
    </row>
    <row r="274">
      <c r="A274" s="7" t="n">
        <v>46259</v>
      </c>
      <c r="B274" s="5" t="inlineStr">
        <is>
          <t>Aurelia Jewellery</t>
        </is>
      </c>
      <c r="C274" s="5" t="inlineStr">
        <is>
          <t>Luxury / Jewellery</t>
        </is>
      </c>
      <c r="D274" s="5" t="inlineStr">
        <is>
          <t>B2C</t>
        </is>
      </c>
      <c r="E274" s="5" t="inlineStr">
        <is>
          <t>Google Ads</t>
        </is>
      </c>
      <c r="F274" s="5" t="inlineStr">
        <is>
          <t>aureliajewellery.example.com</t>
        </is>
      </c>
      <c r="G274" s="8" t="n">
        <v>3372</v>
      </c>
      <c r="H274" s="8" t="n">
        <v>1152</v>
      </c>
      <c r="I274" s="8" t="n">
        <v>24</v>
      </c>
      <c r="J274" s="9">
        <f>I274/H274</f>
        <v/>
      </c>
      <c r="K274" s="8" t="n">
        <v>22</v>
      </c>
      <c r="L274" s="8" t="n">
        <v>0</v>
      </c>
      <c r="M274" s="5" t="inlineStr">
        <is>
          <t>N/A</t>
        </is>
      </c>
      <c r="N274" s="5" t="inlineStr">
        <is>
          <t>N/A</t>
        </is>
      </c>
      <c r="O274" s="8" t="inlineStr">
        <is>
          <t>N/A</t>
        </is>
      </c>
      <c r="P274" s="5" t="n">
        <v>0</v>
      </c>
      <c r="Q274" s="8">
        <f>IFERROR(G274/L274,0)</f>
        <v/>
      </c>
      <c r="R274" s="8" t="n">
        <v>12405</v>
      </c>
      <c r="S274" s="10">
        <f>IFERROR(R274/G274,0)</f>
        <v/>
      </c>
    </row>
    <row r="275">
      <c r="A275" s="7" t="n">
        <v>46260</v>
      </c>
      <c r="B275" s="5" t="inlineStr">
        <is>
          <t>Aurelia Jewellery</t>
        </is>
      </c>
      <c r="C275" s="5" t="inlineStr">
        <is>
          <t>Luxury / Jewellery</t>
        </is>
      </c>
      <c r="D275" s="5" t="inlineStr">
        <is>
          <t>B2C</t>
        </is>
      </c>
      <c r="E275" s="5" t="inlineStr">
        <is>
          <t>Google Ads</t>
        </is>
      </c>
      <c r="F275" s="5" t="inlineStr">
        <is>
          <t>aureliajewellery.example.com</t>
        </is>
      </c>
      <c r="G275" s="8" t="n">
        <v>3436</v>
      </c>
      <c r="H275" s="8" t="n">
        <v>1360</v>
      </c>
      <c r="I275" s="8" t="n">
        <v>29</v>
      </c>
      <c r="J275" s="9">
        <f>I275/H275</f>
        <v/>
      </c>
      <c r="K275" s="8" t="n">
        <v>26</v>
      </c>
      <c r="L275" s="8" t="n">
        <v>1</v>
      </c>
      <c r="M275" s="5" t="inlineStr">
        <is>
          <t>N/A</t>
        </is>
      </c>
      <c r="N275" s="5" t="inlineStr">
        <is>
          <t>N/A</t>
        </is>
      </c>
      <c r="O275" s="8" t="inlineStr">
        <is>
          <t>N/A</t>
        </is>
      </c>
      <c r="P275" s="5" t="n">
        <v>1</v>
      </c>
      <c r="Q275" s="8">
        <f>IFERROR(G275/L275,0)</f>
        <v/>
      </c>
      <c r="R275" s="8" t="n">
        <v>14655</v>
      </c>
      <c r="S275" s="10">
        <f>IFERROR(R275/G275,0)</f>
        <v/>
      </c>
    </row>
    <row r="276">
      <c r="A276" s="7" t="n">
        <v>46261</v>
      </c>
      <c r="B276" s="5" t="inlineStr">
        <is>
          <t>Aurelia Jewellery</t>
        </is>
      </c>
      <c r="C276" s="5" t="inlineStr">
        <is>
          <t>Luxury / Jewellery</t>
        </is>
      </c>
      <c r="D276" s="5" t="inlineStr">
        <is>
          <t>B2C</t>
        </is>
      </c>
      <c r="E276" s="5" t="inlineStr">
        <is>
          <t>Google Ads</t>
        </is>
      </c>
      <c r="F276" s="5" t="inlineStr">
        <is>
          <t>aureliajewellery.example.com</t>
        </is>
      </c>
      <c r="G276" s="8" t="n">
        <v>3034</v>
      </c>
      <c r="H276" s="8" t="n">
        <v>1129</v>
      </c>
      <c r="I276" s="8" t="n">
        <v>24</v>
      </c>
      <c r="J276" s="9">
        <f>I276/H276</f>
        <v/>
      </c>
      <c r="K276" s="8" t="n">
        <v>22</v>
      </c>
      <c r="L276" s="8" t="n">
        <v>0</v>
      </c>
      <c r="M276" s="5" t="inlineStr">
        <is>
          <t>N/A</t>
        </is>
      </c>
      <c r="N276" s="5" t="inlineStr">
        <is>
          <t>N/A</t>
        </is>
      </c>
      <c r="O276" s="8" t="inlineStr">
        <is>
          <t>N/A</t>
        </is>
      </c>
      <c r="P276" s="5" t="n">
        <v>0</v>
      </c>
      <c r="Q276" s="8">
        <f>IFERROR(G276/L276,0)</f>
        <v/>
      </c>
      <c r="R276" s="8" t="n">
        <v>12161</v>
      </c>
      <c r="S276" s="10">
        <f>IFERROR(R276/G276,0)</f>
        <v/>
      </c>
    </row>
    <row r="277">
      <c r="A277" s="7" t="n">
        <v>46262</v>
      </c>
      <c r="B277" s="5" t="inlineStr">
        <is>
          <t>Aurelia Jewellery</t>
        </is>
      </c>
      <c r="C277" s="5" t="inlineStr">
        <is>
          <t>Luxury / Jewellery</t>
        </is>
      </c>
      <c r="D277" s="5" t="inlineStr">
        <is>
          <t>B2C</t>
        </is>
      </c>
      <c r="E277" s="5" t="inlineStr">
        <is>
          <t>Google Ads</t>
        </is>
      </c>
      <c r="F277" s="5" t="inlineStr">
        <is>
          <t>aureliajewellery.example.com</t>
        </is>
      </c>
      <c r="G277" s="8" t="n">
        <v>3280</v>
      </c>
      <c r="H277" s="8" t="n">
        <v>1488</v>
      </c>
      <c r="I277" s="8" t="n">
        <v>31</v>
      </c>
      <c r="J277" s="9">
        <f>I277/H277</f>
        <v/>
      </c>
      <c r="K277" s="8" t="n">
        <v>29</v>
      </c>
      <c r="L277" s="8" t="n">
        <v>1</v>
      </c>
      <c r="M277" s="5" t="inlineStr">
        <is>
          <t>N/A</t>
        </is>
      </c>
      <c r="N277" s="5" t="inlineStr">
        <is>
          <t>N/A</t>
        </is>
      </c>
      <c r="O277" s="8" t="inlineStr">
        <is>
          <t>N/A</t>
        </is>
      </c>
      <c r="P277" s="5" t="n">
        <v>1</v>
      </c>
      <c r="Q277" s="8">
        <f>IFERROR(G277/L277,0)</f>
        <v/>
      </c>
      <c r="R277" s="8" t="n">
        <v>16031</v>
      </c>
      <c r="S277" s="10">
        <f>IFERROR(R277/G277,0)</f>
        <v/>
      </c>
    </row>
    <row r="278">
      <c r="A278" s="7" t="n">
        <v>46263</v>
      </c>
      <c r="B278" s="5" t="inlineStr">
        <is>
          <t>Aurelia Jewellery</t>
        </is>
      </c>
      <c r="C278" s="5" t="inlineStr">
        <is>
          <t>Luxury / Jewellery</t>
        </is>
      </c>
      <c r="D278" s="5" t="inlineStr">
        <is>
          <t>B2C</t>
        </is>
      </c>
      <c r="E278" s="5" t="inlineStr">
        <is>
          <t>Google Ads</t>
        </is>
      </c>
      <c r="F278" s="5" t="inlineStr">
        <is>
          <t>aureliajewellery.example.com</t>
        </is>
      </c>
      <c r="G278" s="8" t="n">
        <v>3517</v>
      </c>
      <c r="H278" s="8" t="n">
        <v>1442</v>
      </c>
      <c r="I278" s="8" t="n">
        <v>30</v>
      </c>
      <c r="J278" s="9">
        <f>I278/H278</f>
        <v/>
      </c>
      <c r="K278" s="8" t="n">
        <v>29</v>
      </c>
      <c r="L278" s="8" t="n">
        <v>1</v>
      </c>
      <c r="M278" s="5" t="inlineStr">
        <is>
          <t>N/A</t>
        </is>
      </c>
      <c r="N278" s="5" t="inlineStr">
        <is>
          <t>N/A</t>
        </is>
      </c>
      <c r="O278" s="8" t="inlineStr">
        <is>
          <t>N/A</t>
        </is>
      </c>
      <c r="P278" s="5" t="n">
        <v>1</v>
      </c>
      <c r="Q278" s="8">
        <f>IFERROR(G278/L278,0)</f>
        <v/>
      </c>
      <c r="R278" s="8" t="n">
        <v>15540</v>
      </c>
      <c r="S278" s="10">
        <f>IFERROR(R278/G278,0)</f>
        <v/>
      </c>
    </row>
    <row r="279">
      <c r="A279" s="7" t="n">
        <v>46264</v>
      </c>
      <c r="B279" s="5" t="inlineStr">
        <is>
          <t>Aurelia Jewellery</t>
        </is>
      </c>
      <c r="C279" s="5" t="inlineStr">
        <is>
          <t>Luxury / Jewellery</t>
        </is>
      </c>
      <c r="D279" s="5" t="inlineStr">
        <is>
          <t>B2C</t>
        </is>
      </c>
      <c r="E279" s="5" t="inlineStr">
        <is>
          <t>Google Ads</t>
        </is>
      </c>
      <c r="F279" s="5" t="inlineStr">
        <is>
          <t>aureliajewellery.example.com</t>
        </is>
      </c>
      <c r="G279" s="8" t="n">
        <v>3500</v>
      </c>
      <c r="H279" s="8" t="n">
        <v>1381</v>
      </c>
      <c r="I279" s="8" t="n">
        <v>29</v>
      </c>
      <c r="J279" s="9">
        <f>I279/H279</f>
        <v/>
      </c>
      <c r="K279" s="8" t="n">
        <v>26</v>
      </c>
      <c r="L279" s="8" t="n">
        <v>1</v>
      </c>
      <c r="M279" s="5" t="inlineStr">
        <is>
          <t>N/A</t>
        </is>
      </c>
      <c r="N279" s="5" t="inlineStr">
        <is>
          <t>N/A</t>
        </is>
      </c>
      <c r="O279" s="8" t="inlineStr">
        <is>
          <t>N/A</t>
        </is>
      </c>
      <c r="P279" s="5" t="n">
        <v>1</v>
      </c>
      <c r="Q279" s="8">
        <f>IFERROR(G279/L279,0)</f>
        <v/>
      </c>
      <c r="R279" s="8" t="n">
        <v>14878</v>
      </c>
      <c r="S279" s="10">
        <f>IFERROR(R279/G279,0)</f>
        <v/>
      </c>
    </row>
    <row r="280">
      <c r="A280" s="7" t="n">
        <v>46265</v>
      </c>
      <c r="B280" s="5" t="inlineStr">
        <is>
          <t>Aurelia Jewellery</t>
        </is>
      </c>
      <c r="C280" s="5" t="inlineStr">
        <is>
          <t>Luxury / Jewellery</t>
        </is>
      </c>
      <c r="D280" s="5" t="inlineStr">
        <is>
          <t>B2C</t>
        </is>
      </c>
      <c r="E280" s="5" t="inlineStr">
        <is>
          <t>Google Ads</t>
        </is>
      </c>
      <c r="F280" s="5" t="inlineStr">
        <is>
          <t>aureliajewellery.example.com</t>
        </is>
      </c>
      <c r="G280" s="8" t="n">
        <v>3349</v>
      </c>
      <c r="H280" s="8" t="n">
        <v>1350</v>
      </c>
      <c r="I280" s="8" t="n">
        <v>28</v>
      </c>
      <c r="J280" s="9">
        <f>I280/H280</f>
        <v/>
      </c>
      <c r="K280" s="8" t="n">
        <v>26</v>
      </c>
      <c r="L280" s="8" t="n">
        <v>1</v>
      </c>
      <c r="M280" s="5" t="inlineStr">
        <is>
          <t>N/A</t>
        </is>
      </c>
      <c r="N280" s="5" t="inlineStr">
        <is>
          <t>N/A</t>
        </is>
      </c>
      <c r="O280" s="8" t="inlineStr">
        <is>
          <t>N/A</t>
        </is>
      </c>
      <c r="P280" s="5" t="n">
        <v>1</v>
      </c>
      <c r="Q280" s="8">
        <f>IFERROR(G280/L280,0)</f>
        <v/>
      </c>
      <c r="R280" s="8" t="n">
        <v>14547</v>
      </c>
      <c r="S280" s="10">
        <f>IFERROR(R280/G280,0)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2" customWidth="1" min="4" max="4"/>
    <col width="12" customWidth="1" min="5" max="5"/>
    <col width="26" customWidth="1" min="6" max="6"/>
    <col width="10" customWidth="1" min="7" max="7"/>
    <col width="12" customWidth="1" min="8" max="8"/>
    <col width="9" customWidth="1" min="9" max="9"/>
    <col width="9" customWidth="1" min="10" max="10"/>
    <col width="12" customWidth="1" min="11" max="11"/>
    <col width="8" customWidth="1" min="12" max="12"/>
    <col width="8" customWidth="1" min="13" max="13"/>
    <col width="8" customWidth="1" min="14" max="14"/>
    <col width="14" customWidth="1" min="15" max="15"/>
    <col width="12" customWidth="1" min="16" max="16"/>
    <col width="10" customWidth="1" min="17" max="17"/>
    <col width="12" customWidth="1" min="18" max="18"/>
    <col width="9" customWidth="1" min="19" max="19"/>
  </cols>
  <sheetData>
    <row r="1">
      <c r="A1" s="4" t="inlineStr">
        <is>
          <t>Date</t>
        </is>
      </c>
      <c r="B1" s="4" t="inlineStr">
        <is>
          <t>Product</t>
        </is>
      </c>
      <c r="C1" s="4" t="inlineStr">
        <is>
          <t>Industry</t>
        </is>
      </c>
      <c r="D1" s="4" t="inlineStr">
        <is>
          <t>Funnel Type</t>
        </is>
      </c>
      <c r="E1" s="4" t="inlineStr">
        <is>
          <t>Channel</t>
        </is>
      </c>
      <c r="F1" s="4" t="inlineStr">
        <is>
          <t>Website</t>
        </is>
      </c>
      <c r="G1" s="4" t="inlineStr">
        <is>
          <t>Spend</t>
        </is>
      </c>
      <c r="H1" s="4" t="inlineStr">
        <is>
          <t>Impressions</t>
        </is>
      </c>
      <c r="I1" s="4" t="inlineStr">
        <is>
          <t>Clicks</t>
        </is>
      </c>
      <c r="J1" s="4" t="inlineStr">
        <is>
          <t>CTR</t>
        </is>
      </c>
      <c r="K1" s="4" t="inlineStr">
        <is>
          <t>Website Visits</t>
        </is>
      </c>
      <c r="L1" s="4" t="inlineStr">
        <is>
          <t>Leads</t>
        </is>
      </c>
      <c r="M1" s="4" t="inlineStr">
        <is>
          <t>MQL</t>
        </is>
      </c>
      <c r="N1" s="4" t="inlineStr">
        <is>
          <t>SQL</t>
        </is>
      </c>
      <c r="O1" s="4" t="inlineStr">
        <is>
          <t>Bookings (INR)</t>
        </is>
      </c>
      <c r="P1" s="4" t="inlineStr">
        <is>
          <t>Conversions</t>
        </is>
      </c>
      <c r="Q1" s="4" t="inlineStr">
        <is>
          <t>CAC</t>
        </is>
      </c>
      <c r="R1" s="4" t="inlineStr">
        <is>
          <t>Revenue</t>
        </is>
      </c>
      <c r="S1" s="4" t="inlineStr">
        <is>
          <t>ROAS</t>
        </is>
      </c>
    </row>
    <row r="2">
      <c r="A2" s="7" t="n">
        <v>46143</v>
      </c>
      <c r="B2" s="5" t="inlineStr">
        <is>
          <t>Vantage CRM</t>
        </is>
      </c>
      <c r="C2" s="5" t="inlineStr">
        <is>
          <t>SaaS / B2B Tech</t>
        </is>
      </c>
      <c r="D2" s="5" t="inlineStr">
        <is>
          <t>B2B</t>
        </is>
      </c>
      <c r="E2" s="5" t="inlineStr">
        <is>
          <t>LinkedIn</t>
        </is>
      </c>
      <c r="F2" s="5" t="inlineStr">
        <is>
          <t>vantagecrm.example.com</t>
        </is>
      </c>
      <c r="G2" s="8" t="n">
        <v>3226</v>
      </c>
      <c r="H2" s="8" t="n">
        <v>2721</v>
      </c>
      <c r="I2" s="8" t="n">
        <v>57</v>
      </c>
      <c r="J2" s="9">
        <f>I2/H2</f>
        <v/>
      </c>
      <c r="K2" s="8" t="n">
        <v>55</v>
      </c>
      <c r="L2" s="8" t="n">
        <v>2</v>
      </c>
      <c r="M2" s="5" t="n">
        <v>2</v>
      </c>
      <c r="N2" s="5" t="n">
        <v>2</v>
      </c>
      <c r="O2" s="8" t="n">
        <v>0</v>
      </c>
      <c r="P2" s="5" t="inlineStr">
        <is>
          <t>N/A</t>
        </is>
      </c>
      <c r="Q2" s="8">
        <f>IFERROR(G2/L2,0)</f>
        <v/>
      </c>
      <c r="R2" s="8" t="n">
        <v>0</v>
      </c>
      <c r="S2" s="10">
        <f>IFERROR(R2/G2,0)</f>
        <v/>
      </c>
    </row>
    <row r="3">
      <c r="A3" s="7" t="n">
        <v>46144</v>
      </c>
      <c r="B3" s="5" t="inlineStr">
        <is>
          <t>Vantage CRM</t>
        </is>
      </c>
      <c r="C3" s="5" t="inlineStr">
        <is>
          <t>SaaS / B2B Tech</t>
        </is>
      </c>
      <c r="D3" s="5" t="inlineStr">
        <is>
          <t>B2B</t>
        </is>
      </c>
      <c r="E3" s="5" t="inlineStr">
        <is>
          <t>LinkedIn</t>
        </is>
      </c>
      <c r="F3" s="5" t="inlineStr">
        <is>
          <t>vantagecrm.example.com</t>
        </is>
      </c>
      <c r="G3" s="8" t="n">
        <v>3301</v>
      </c>
      <c r="H3" s="8" t="n">
        <v>4082</v>
      </c>
      <c r="I3" s="8" t="n">
        <v>86</v>
      </c>
      <c r="J3" s="9">
        <f>I3/H3</f>
        <v/>
      </c>
      <c r="K3" s="8" t="n">
        <v>75</v>
      </c>
      <c r="L3" s="8" t="n">
        <v>3</v>
      </c>
      <c r="M3" s="5" t="n">
        <v>3</v>
      </c>
      <c r="N3" s="5" t="n">
        <v>0</v>
      </c>
      <c r="O3" s="8" t="n">
        <v>0</v>
      </c>
      <c r="P3" s="5" t="inlineStr">
        <is>
          <t>N/A</t>
        </is>
      </c>
      <c r="Q3" s="8">
        <f>IFERROR(G3/L3,0)</f>
        <v/>
      </c>
      <c r="R3" s="8" t="n">
        <v>0</v>
      </c>
      <c r="S3" s="10">
        <f>IFERROR(R3/G3,0)</f>
        <v/>
      </c>
    </row>
    <row r="4">
      <c r="A4" s="7" t="n">
        <v>46145</v>
      </c>
      <c r="B4" s="5" t="inlineStr">
        <is>
          <t>Vantage CRM</t>
        </is>
      </c>
      <c r="C4" s="5" t="inlineStr">
        <is>
          <t>SaaS / B2B Tech</t>
        </is>
      </c>
      <c r="D4" s="5" t="inlineStr">
        <is>
          <t>B2B</t>
        </is>
      </c>
      <c r="E4" s="5" t="inlineStr">
        <is>
          <t>LinkedIn</t>
        </is>
      </c>
      <c r="F4" s="5" t="inlineStr">
        <is>
          <t>vantagecrm.example.com</t>
        </is>
      </c>
      <c r="G4" s="8" t="n">
        <v>3551</v>
      </c>
      <c r="H4" s="8" t="n">
        <v>1361</v>
      </c>
      <c r="I4" s="8" t="n">
        <v>29</v>
      </c>
      <c r="J4" s="9">
        <f>I4/H4</f>
        <v/>
      </c>
      <c r="K4" s="8" t="n">
        <v>28</v>
      </c>
      <c r="L4" s="8" t="n">
        <v>1</v>
      </c>
      <c r="M4" s="5" t="n">
        <v>1</v>
      </c>
      <c r="N4" s="5" t="n">
        <v>1</v>
      </c>
      <c r="O4" s="8" t="n">
        <v>0</v>
      </c>
      <c r="P4" s="5" t="inlineStr">
        <is>
          <t>N/A</t>
        </is>
      </c>
      <c r="Q4" s="8">
        <f>IFERROR(G4/L4,0)</f>
        <v/>
      </c>
      <c r="R4" s="8" t="n">
        <v>0</v>
      </c>
      <c r="S4" s="10">
        <f>IFERROR(R4/G4,0)</f>
        <v/>
      </c>
    </row>
    <row r="5">
      <c r="A5" s="7" t="n">
        <v>46146</v>
      </c>
      <c r="B5" s="5" t="inlineStr">
        <is>
          <t>Vantage CRM</t>
        </is>
      </c>
      <c r="C5" s="5" t="inlineStr">
        <is>
          <t>SaaS / B2B Tech</t>
        </is>
      </c>
      <c r="D5" s="5" t="inlineStr">
        <is>
          <t>B2B</t>
        </is>
      </c>
      <c r="E5" s="5" t="inlineStr">
        <is>
          <t>LinkedIn</t>
        </is>
      </c>
      <c r="F5" s="5" t="inlineStr">
        <is>
          <t>vantagecrm.example.com</t>
        </is>
      </c>
      <c r="G5" s="8" t="n">
        <v>3401</v>
      </c>
      <c r="H5" s="8" t="n">
        <v>2721</v>
      </c>
      <c r="I5" s="8" t="n">
        <v>57</v>
      </c>
      <c r="J5" s="9">
        <f>I5/H5</f>
        <v/>
      </c>
      <c r="K5" s="8" t="n">
        <v>52</v>
      </c>
      <c r="L5" s="8" t="n">
        <v>2</v>
      </c>
      <c r="M5" s="5" t="n">
        <v>2</v>
      </c>
      <c r="N5" s="5" t="n">
        <v>1</v>
      </c>
      <c r="O5" s="8" t="n">
        <v>0</v>
      </c>
      <c r="P5" s="5" t="inlineStr">
        <is>
          <t>N/A</t>
        </is>
      </c>
      <c r="Q5" s="8">
        <f>IFERROR(G5/L5,0)</f>
        <v/>
      </c>
      <c r="R5" s="8" t="n">
        <v>0</v>
      </c>
      <c r="S5" s="10">
        <f>IFERROR(R5/G5,0)</f>
        <v/>
      </c>
    </row>
    <row r="6">
      <c r="A6" s="7" t="n">
        <v>46147</v>
      </c>
      <c r="B6" s="5" t="inlineStr">
        <is>
          <t>Vantage CRM</t>
        </is>
      </c>
      <c r="C6" s="5" t="inlineStr">
        <is>
          <t>SaaS / B2B Tech</t>
        </is>
      </c>
      <c r="D6" s="5" t="inlineStr">
        <is>
          <t>B2B</t>
        </is>
      </c>
      <c r="E6" s="5" t="inlineStr">
        <is>
          <t>LinkedIn</t>
        </is>
      </c>
      <c r="F6" s="5" t="inlineStr">
        <is>
          <t>vantagecrm.example.com</t>
        </is>
      </c>
      <c r="G6" s="8" t="n">
        <v>3481</v>
      </c>
      <c r="H6" s="8" t="n">
        <v>1361</v>
      </c>
      <c r="I6" s="8" t="n">
        <v>29</v>
      </c>
      <c r="J6" s="9">
        <f>I6/H6</f>
        <v/>
      </c>
      <c r="K6" s="8" t="n">
        <v>26</v>
      </c>
      <c r="L6" s="8" t="n">
        <v>1</v>
      </c>
      <c r="M6" s="5" t="n">
        <v>1</v>
      </c>
      <c r="N6" s="5" t="n">
        <v>0</v>
      </c>
      <c r="O6" s="8" t="n">
        <v>0</v>
      </c>
      <c r="P6" s="5" t="inlineStr">
        <is>
          <t>N/A</t>
        </is>
      </c>
      <c r="Q6" s="8">
        <f>IFERROR(G6/L6,0)</f>
        <v/>
      </c>
      <c r="R6" s="8" t="n">
        <v>0</v>
      </c>
      <c r="S6" s="10">
        <f>IFERROR(R6/G6,0)</f>
        <v/>
      </c>
    </row>
    <row r="7">
      <c r="A7" s="7" t="n">
        <v>46148</v>
      </c>
      <c r="B7" s="5" t="inlineStr">
        <is>
          <t>Vantage CRM</t>
        </is>
      </c>
      <c r="C7" s="5" t="inlineStr">
        <is>
          <t>SaaS / B2B Tech</t>
        </is>
      </c>
      <c r="D7" s="5" t="inlineStr">
        <is>
          <t>B2B</t>
        </is>
      </c>
      <c r="E7" s="5" t="inlineStr">
        <is>
          <t>LinkedIn</t>
        </is>
      </c>
      <c r="F7" s="5" t="inlineStr">
        <is>
          <t>vantagecrm.example.com</t>
        </is>
      </c>
      <c r="G7" s="8" t="n">
        <v>3559</v>
      </c>
      <c r="H7" s="8" t="n">
        <v>4082</v>
      </c>
      <c r="I7" s="8" t="n">
        <v>86</v>
      </c>
      <c r="J7" s="9">
        <f>I7/H7</f>
        <v/>
      </c>
      <c r="K7" s="8" t="n">
        <v>84</v>
      </c>
      <c r="L7" s="8" t="n">
        <v>3</v>
      </c>
      <c r="M7" s="5" t="n">
        <v>3</v>
      </c>
      <c r="N7" s="5" t="n">
        <v>2</v>
      </c>
      <c r="O7" s="8" t="n">
        <v>0</v>
      </c>
      <c r="P7" s="5" t="inlineStr">
        <is>
          <t>N/A</t>
        </is>
      </c>
      <c r="Q7" s="8">
        <f>IFERROR(G7/L7,0)</f>
        <v/>
      </c>
      <c r="R7" s="8" t="n">
        <v>0</v>
      </c>
      <c r="S7" s="10">
        <f>IFERROR(R7/G7,0)</f>
        <v/>
      </c>
    </row>
    <row r="8">
      <c r="A8" s="7" t="n">
        <v>46149</v>
      </c>
      <c r="B8" s="5" t="inlineStr">
        <is>
          <t>Vantage CRM</t>
        </is>
      </c>
      <c r="C8" s="5" t="inlineStr">
        <is>
          <t>SaaS / B2B Tech</t>
        </is>
      </c>
      <c r="D8" s="5" t="inlineStr">
        <is>
          <t>B2B</t>
        </is>
      </c>
      <c r="E8" s="5" t="inlineStr">
        <is>
          <t>LinkedIn</t>
        </is>
      </c>
      <c r="F8" s="5" t="inlineStr">
        <is>
          <t>vantagecrm.example.com</t>
        </is>
      </c>
      <c r="G8" s="8" t="n">
        <v>3311</v>
      </c>
      <c r="H8" s="8" t="n">
        <v>2721</v>
      </c>
      <c r="I8" s="8" t="n">
        <v>57</v>
      </c>
      <c r="J8" s="9">
        <f>I8/H8</f>
        <v/>
      </c>
      <c r="K8" s="8" t="n">
        <v>51</v>
      </c>
      <c r="L8" s="8" t="n">
        <v>2</v>
      </c>
      <c r="M8" s="5" t="n">
        <v>2</v>
      </c>
      <c r="N8" s="5" t="n">
        <v>2</v>
      </c>
      <c r="O8" s="8" t="n">
        <v>42000</v>
      </c>
      <c r="P8" s="5" t="inlineStr">
        <is>
          <t>N/A</t>
        </is>
      </c>
      <c r="Q8" s="8">
        <f>IFERROR(G8/L8,0)</f>
        <v/>
      </c>
      <c r="R8" s="8" t="n">
        <v>46833</v>
      </c>
      <c r="S8" s="10">
        <f>IFERROR(R8/G8,0)</f>
        <v/>
      </c>
    </row>
    <row r="9">
      <c r="A9" s="7" t="n">
        <v>46150</v>
      </c>
      <c r="B9" s="5" t="inlineStr">
        <is>
          <t>Vantage CRM</t>
        </is>
      </c>
      <c r="C9" s="5" t="inlineStr">
        <is>
          <t>SaaS / B2B Tech</t>
        </is>
      </c>
      <c r="D9" s="5" t="inlineStr">
        <is>
          <t>B2B</t>
        </is>
      </c>
      <c r="E9" s="5" t="inlineStr">
        <is>
          <t>LinkedIn</t>
        </is>
      </c>
      <c r="F9" s="5" t="inlineStr">
        <is>
          <t>vantagecrm.example.com</t>
        </is>
      </c>
      <c r="G9" s="8" t="n">
        <v>3580</v>
      </c>
      <c r="H9" s="8" t="n">
        <v>2721</v>
      </c>
      <c r="I9" s="8" t="n">
        <v>57</v>
      </c>
      <c r="J9" s="9">
        <f>I9/H9</f>
        <v/>
      </c>
      <c r="K9" s="8" t="n">
        <v>52</v>
      </c>
      <c r="L9" s="8" t="n">
        <v>2</v>
      </c>
      <c r="M9" s="5" t="n">
        <v>2</v>
      </c>
      <c r="N9" s="5" t="n">
        <v>2</v>
      </c>
      <c r="O9" s="8" t="n">
        <v>0</v>
      </c>
      <c r="P9" s="5" t="inlineStr">
        <is>
          <t>N/A</t>
        </is>
      </c>
      <c r="Q9" s="8">
        <f>IFERROR(G9/L9,0)</f>
        <v/>
      </c>
      <c r="R9" s="8" t="n">
        <v>0</v>
      </c>
      <c r="S9" s="10">
        <f>IFERROR(R9/G9,0)</f>
        <v/>
      </c>
    </row>
    <row r="10">
      <c r="A10" s="7" t="n">
        <v>46151</v>
      </c>
      <c r="B10" s="5" t="inlineStr">
        <is>
          <t>Vantage CRM</t>
        </is>
      </c>
      <c r="C10" s="5" t="inlineStr">
        <is>
          <t>SaaS / B2B Tech</t>
        </is>
      </c>
      <c r="D10" s="5" t="inlineStr">
        <is>
          <t>B2B</t>
        </is>
      </c>
      <c r="E10" s="5" t="inlineStr">
        <is>
          <t>LinkedIn</t>
        </is>
      </c>
      <c r="F10" s="5" t="inlineStr">
        <is>
          <t>vantagecrm.example.com</t>
        </is>
      </c>
      <c r="G10" s="8" t="n">
        <v>3490</v>
      </c>
      <c r="H10" s="8" t="n">
        <v>2721</v>
      </c>
      <c r="I10" s="8" t="n">
        <v>57</v>
      </c>
      <c r="J10" s="9">
        <f>I10/H10</f>
        <v/>
      </c>
      <c r="K10" s="8" t="n">
        <v>53</v>
      </c>
      <c r="L10" s="8" t="n">
        <v>2</v>
      </c>
      <c r="M10" s="5" t="n">
        <v>2</v>
      </c>
      <c r="N10" s="5" t="n">
        <v>0</v>
      </c>
      <c r="O10" s="8" t="n">
        <v>0</v>
      </c>
      <c r="P10" s="5" t="inlineStr">
        <is>
          <t>N/A</t>
        </is>
      </c>
      <c r="Q10" s="8">
        <f>IFERROR(G10/L10,0)</f>
        <v/>
      </c>
      <c r="R10" s="8" t="n">
        <v>0</v>
      </c>
      <c r="S10" s="10">
        <f>IFERROR(R10/G10,0)</f>
        <v/>
      </c>
    </row>
    <row r="11">
      <c r="A11" s="7" t="n">
        <v>46152</v>
      </c>
      <c r="B11" s="5" t="inlineStr">
        <is>
          <t>Vantage CRM</t>
        </is>
      </c>
      <c r="C11" s="5" t="inlineStr">
        <is>
          <t>SaaS / B2B Tech</t>
        </is>
      </c>
      <c r="D11" s="5" t="inlineStr">
        <is>
          <t>B2B</t>
        </is>
      </c>
      <c r="E11" s="5" t="inlineStr">
        <is>
          <t>LinkedIn</t>
        </is>
      </c>
      <c r="F11" s="5" t="inlineStr">
        <is>
          <t>vantagecrm.example.com</t>
        </is>
      </c>
      <c r="G11" s="8" t="n">
        <v>3106</v>
      </c>
      <c r="H11" s="8" t="n">
        <v>8163</v>
      </c>
      <c r="I11" s="8" t="n">
        <v>171</v>
      </c>
      <c r="J11" s="9">
        <f>I11/H11</f>
        <v/>
      </c>
      <c r="K11" s="8" t="n">
        <v>149</v>
      </c>
      <c r="L11" s="8" t="n">
        <v>6</v>
      </c>
      <c r="M11" s="5" t="n">
        <v>6</v>
      </c>
      <c r="N11" s="5" t="n">
        <v>2</v>
      </c>
      <c r="O11" s="8" t="n">
        <v>0</v>
      </c>
      <c r="P11" s="5" t="inlineStr">
        <is>
          <t>N/A</t>
        </is>
      </c>
      <c r="Q11" s="8">
        <f>IFERROR(G11/L11,0)</f>
        <v/>
      </c>
      <c r="R11" s="8" t="n">
        <v>0</v>
      </c>
      <c r="S11" s="10">
        <f>IFERROR(R11/G11,0)</f>
        <v/>
      </c>
    </row>
    <row r="12">
      <c r="A12" s="7" t="n">
        <v>46153</v>
      </c>
      <c r="B12" s="5" t="inlineStr">
        <is>
          <t>Vantage CRM</t>
        </is>
      </c>
      <c r="C12" s="5" t="inlineStr">
        <is>
          <t>SaaS / B2B Tech</t>
        </is>
      </c>
      <c r="D12" s="5" t="inlineStr">
        <is>
          <t>B2B</t>
        </is>
      </c>
      <c r="E12" s="5" t="inlineStr">
        <is>
          <t>LinkedIn</t>
        </is>
      </c>
      <c r="F12" s="5" t="inlineStr">
        <is>
          <t>vantagecrm.example.com</t>
        </is>
      </c>
      <c r="G12" s="8" t="n">
        <v>3743</v>
      </c>
      <c r="H12" s="8" t="n">
        <v>1361</v>
      </c>
      <c r="I12" s="8" t="n">
        <v>29</v>
      </c>
      <c r="J12" s="9">
        <f>I12/H12</f>
        <v/>
      </c>
      <c r="K12" s="8" t="n">
        <v>25</v>
      </c>
      <c r="L12" s="8" t="n">
        <v>1</v>
      </c>
      <c r="M12" s="5" t="n">
        <v>1</v>
      </c>
      <c r="N12" s="5" t="n">
        <v>1</v>
      </c>
      <c r="O12" s="8" t="n">
        <v>0</v>
      </c>
      <c r="P12" s="5" t="inlineStr">
        <is>
          <t>N/A</t>
        </is>
      </c>
      <c r="Q12" s="8">
        <f>IFERROR(G12/L12,0)</f>
        <v/>
      </c>
      <c r="R12" s="8" t="n">
        <v>0</v>
      </c>
      <c r="S12" s="10">
        <f>IFERROR(R12/G12,0)</f>
        <v/>
      </c>
    </row>
    <row r="13">
      <c r="A13" s="7" t="n">
        <v>46154</v>
      </c>
      <c r="B13" s="5" t="inlineStr">
        <is>
          <t>Vantage CRM</t>
        </is>
      </c>
      <c r="C13" s="5" t="inlineStr">
        <is>
          <t>SaaS / B2B Tech</t>
        </is>
      </c>
      <c r="D13" s="5" t="inlineStr">
        <is>
          <t>B2B</t>
        </is>
      </c>
      <c r="E13" s="5" t="inlineStr">
        <is>
          <t>LinkedIn</t>
        </is>
      </c>
      <c r="F13" s="5" t="inlineStr">
        <is>
          <t>vantagecrm.example.com</t>
        </is>
      </c>
      <c r="G13" s="8" t="n">
        <v>3281</v>
      </c>
      <c r="H13" s="8" t="n">
        <v>4082</v>
      </c>
      <c r="I13" s="8" t="n">
        <v>86</v>
      </c>
      <c r="J13" s="9">
        <f>I13/H13</f>
        <v/>
      </c>
      <c r="K13" s="8" t="n">
        <v>75</v>
      </c>
      <c r="L13" s="8" t="n">
        <v>3</v>
      </c>
      <c r="M13" s="5" t="n">
        <v>3</v>
      </c>
      <c r="N13" s="5" t="n">
        <v>1</v>
      </c>
      <c r="O13" s="8" t="n">
        <v>42000</v>
      </c>
      <c r="P13" s="5" t="inlineStr">
        <is>
          <t>N/A</t>
        </is>
      </c>
      <c r="Q13" s="8">
        <f>IFERROR(G13/L13,0)</f>
        <v/>
      </c>
      <c r="R13" s="8" t="n">
        <v>40580</v>
      </c>
      <c r="S13" s="10">
        <f>IFERROR(R13/G13,0)</f>
        <v/>
      </c>
    </row>
    <row r="14">
      <c r="A14" s="7" t="n">
        <v>46155</v>
      </c>
      <c r="B14" s="5" t="inlineStr">
        <is>
          <t>Vantage CRM</t>
        </is>
      </c>
      <c r="C14" s="5" t="inlineStr">
        <is>
          <t>SaaS / B2B Tech</t>
        </is>
      </c>
      <c r="D14" s="5" t="inlineStr">
        <is>
          <t>B2B</t>
        </is>
      </c>
      <c r="E14" s="5" t="inlineStr">
        <is>
          <t>LinkedIn</t>
        </is>
      </c>
      <c r="F14" s="5" t="inlineStr">
        <is>
          <t>vantagecrm.example.com</t>
        </is>
      </c>
      <c r="G14" s="8" t="n">
        <v>3006</v>
      </c>
      <c r="H14" s="8" t="n">
        <v>0</v>
      </c>
      <c r="I14" s="8" t="n">
        <v>0</v>
      </c>
      <c r="J14" s="9">
        <f>I14/H14</f>
        <v/>
      </c>
      <c r="K14" s="8" t="n">
        <v>0</v>
      </c>
      <c r="L14" s="8" t="n">
        <v>0</v>
      </c>
      <c r="M14" s="5" t="n">
        <v>0</v>
      </c>
      <c r="N14" s="5" t="n">
        <v>0</v>
      </c>
      <c r="O14" s="8" t="n">
        <v>0</v>
      </c>
      <c r="P14" s="5" t="inlineStr">
        <is>
          <t>N/A</t>
        </is>
      </c>
      <c r="Q14" s="8">
        <f>IFERROR(G14/L14,0)</f>
        <v/>
      </c>
      <c r="R14" s="8" t="n">
        <v>0</v>
      </c>
      <c r="S14" s="10">
        <f>IFERROR(R14/G14,0)</f>
        <v/>
      </c>
    </row>
    <row r="15">
      <c r="A15" s="7" t="n">
        <v>46156</v>
      </c>
      <c r="B15" s="5" t="inlineStr">
        <is>
          <t>Vantage CRM</t>
        </is>
      </c>
      <c r="C15" s="5" t="inlineStr">
        <is>
          <t>SaaS / B2B Tech</t>
        </is>
      </c>
      <c r="D15" s="5" t="inlineStr">
        <is>
          <t>B2B</t>
        </is>
      </c>
      <c r="E15" s="5" t="inlineStr">
        <is>
          <t>LinkedIn</t>
        </is>
      </c>
      <c r="F15" s="5" t="inlineStr">
        <is>
          <t>vantagecrm.example.com</t>
        </is>
      </c>
      <c r="G15" s="8" t="n">
        <v>3151</v>
      </c>
      <c r="H15" s="8" t="n">
        <v>4082</v>
      </c>
      <c r="I15" s="8" t="n">
        <v>86</v>
      </c>
      <c r="J15" s="9">
        <f>I15/H15</f>
        <v/>
      </c>
      <c r="K15" s="8" t="n">
        <v>83</v>
      </c>
      <c r="L15" s="8" t="n">
        <v>3</v>
      </c>
      <c r="M15" s="5" t="n">
        <v>3</v>
      </c>
      <c r="N15" s="5" t="n">
        <v>2</v>
      </c>
      <c r="O15" s="8" t="n">
        <v>0</v>
      </c>
      <c r="P15" s="5" t="inlineStr">
        <is>
          <t>N/A</t>
        </is>
      </c>
      <c r="Q15" s="8">
        <f>IFERROR(G15/L15,0)</f>
        <v/>
      </c>
      <c r="R15" s="8" t="n">
        <v>0</v>
      </c>
      <c r="S15" s="10">
        <f>IFERROR(R15/G15,0)</f>
        <v/>
      </c>
    </row>
    <row r="16">
      <c r="A16" s="7" t="n">
        <v>46157</v>
      </c>
      <c r="B16" s="5" t="inlineStr">
        <is>
          <t>Vantage CRM</t>
        </is>
      </c>
      <c r="C16" s="5" t="inlineStr">
        <is>
          <t>SaaS / B2B Tech</t>
        </is>
      </c>
      <c r="D16" s="5" t="inlineStr">
        <is>
          <t>B2B</t>
        </is>
      </c>
      <c r="E16" s="5" t="inlineStr">
        <is>
          <t>LinkedIn</t>
        </is>
      </c>
      <c r="F16" s="5" t="inlineStr">
        <is>
          <t>vantagecrm.example.com</t>
        </is>
      </c>
      <c r="G16" s="8" t="n">
        <v>3157</v>
      </c>
      <c r="H16" s="8" t="n">
        <v>2721</v>
      </c>
      <c r="I16" s="8" t="n">
        <v>57</v>
      </c>
      <c r="J16" s="9">
        <f>I16/H16</f>
        <v/>
      </c>
      <c r="K16" s="8" t="n">
        <v>53</v>
      </c>
      <c r="L16" s="8" t="n">
        <v>2</v>
      </c>
      <c r="M16" s="5" t="n">
        <v>2</v>
      </c>
      <c r="N16" s="5" t="n">
        <v>1</v>
      </c>
      <c r="O16" s="8" t="n">
        <v>0</v>
      </c>
      <c r="P16" s="5" t="inlineStr">
        <is>
          <t>N/A</t>
        </is>
      </c>
      <c r="Q16" s="8">
        <f>IFERROR(G16/L16,0)</f>
        <v/>
      </c>
      <c r="R16" s="8" t="n">
        <v>0</v>
      </c>
      <c r="S16" s="10">
        <f>IFERROR(R16/G16,0)</f>
        <v/>
      </c>
    </row>
    <row r="17">
      <c r="A17" s="7" t="n">
        <v>46158</v>
      </c>
      <c r="B17" s="5" t="inlineStr">
        <is>
          <t>Vantage CRM</t>
        </is>
      </c>
      <c r="C17" s="5" t="inlineStr">
        <is>
          <t>SaaS / B2B Tech</t>
        </is>
      </c>
      <c r="D17" s="5" t="inlineStr">
        <is>
          <t>B2B</t>
        </is>
      </c>
      <c r="E17" s="5" t="inlineStr">
        <is>
          <t>LinkedIn</t>
        </is>
      </c>
      <c r="F17" s="5" t="inlineStr">
        <is>
          <t>vantagecrm.example.com</t>
        </is>
      </c>
      <c r="G17" s="8" t="n">
        <v>3412</v>
      </c>
      <c r="H17" s="8" t="n">
        <v>5442</v>
      </c>
      <c r="I17" s="8" t="n">
        <v>114</v>
      </c>
      <c r="J17" s="9">
        <f>I17/H17</f>
        <v/>
      </c>
      <c r="K17" s="8" t="n">
        <v>102</v>
      </c>
      <c r="L17" s="8" t="n">
        <v>4</v>
      </c>
      <c r="M17" s="5" t="n">
        <v>4</v>
      </c>
      <c r="N17" s="5" t="n">
        <v>2</v>
      </c>
      <c r="O17" s="8" t="n">
        <v>42000</v>
      </c>
      <c r="P17" s="5" t="inlineStr">
        <is>
          <t>N/A</t>
        </is>
      </c>
      <c r="Q17" s="8">
        <f>IFERROR(G17/L17,0)</f>
        <v/>
      </c>
      <c r="R17" s="8" t="n">
        <v>47561</v>
      </c>
      <c r="S17" s="10">
        <f>IFERROR(R17/G17,0)</f>
        <v/>
      </c>
    </row>
    <row r="18">
      <c r="A18" s="7" t="n">
        <v>46159</v>
      </c>
      <c r="B18" s="5" t="inlineStr">
        <is>
          <t>Vantage CRM</t>
        </is>
      </c>
      <c r="C18" s="5" t="inlineStr">
        <is>
          <t>SaaS / B2B Tech</t>
        </is>
      </c>
      <c r="D18" s="5" t="inlineStr">
        <is>
          <t>B2B</t>
        </is>
      </c>
      <c r="E18" s="5" t="inlineStr">
        <is>
          <t>LinkedIn</t>
        </is>
      </c>
      <c r="F18" s="5" t="inlineStr">
        <is>
          <t>vantagecrm.example.com</t>
        </is>
      </c>
      <c r="G18" s="8" t="n">
        <v>3335</v>
      </c>
      <c r="H18" s="8" t="n">
        <v>1361</v>
      </c>
      <c r="I18" s="8" t="n">
        <v>29</v>
      </c>
      <c r="J18" s="9">
        <f>I18/H18</f>
        <v/>
      </c>
      <c r="K18" s="8" t="n">
        <v>26</v>
      </c>
      <c r="L18" s="8" t="n">
        <v>1</v>
      </c>
      <c r="M18" s="5" t="n">
        <v>1</v>
      </c>
      <c r="N18" s="5" t="n">
        <v>1</v>
      </c>
      <c r="O18" s="8" t="n">
        <v>0</v>
      </c>
      <c r="P18" s="5" t="inlineStr">
        <is>
          <t>N/A</t>
        </is>
      </c>
      <c r="Q18" s="8">
        <f>IFERROR(G18/L18,0)</f>
        <v/>
      </c>
      <c r="R18" s="8" t="n">
        <v>0</v>
      </c>
      <c r="S18" s="10">
        <f>IFERROR(R18/G18,0)</f>
        <v/>
      </c>
    </row>
    <row r="19">
      <c r="A19" s="7" t="n">
        <v>46160</v>
      </c>
      <c r="B19" s="5" t="inlineStr">
        <is>
          <t>Vantage CRM</t>
        </is>
      </c>
      <c r="C19" s="5" t="inlineStr">
        <is>
          <t>SaaS / B2B Tech</t>
        </is>
      </c>
      <c r="D19" s="5" t="inlineStr">
        <is>
          <t>B2B</t>
        </is>
      </c>
      <c r="E19" s="5" t="inlineStr">
        <is>
          <t>LinkedIn</t>
        </is>
      </c>
      <c r="F19" s="5" t="inlineStr">
        <is>
          <t>vantagecrm.example.com</t>
        </is>
      </c>
      <c r="G19" s="8" t="n">
        <v>3320</v>
      </c>
      <c r="H19" s="8" t="n">
        <v>1361</v>
      </c>
      <c r="I19" s="8" t="n">
        <v>29</v>
      </c>
      <c r="J19" s="9">
        <f>I19/H19</f>
        <v/>
      </c>
      <c r="K19" s="8" t="n">
        <v>26</v>
      </c>
      <c r="L19" s="8" t="n">
        <v>1</v>
      </c>
      <c r="M19" s="5" t="n">
        <v>1</v>
      </c>
      <c r="N19" s="5" t="n">
        <v>1</v>
      </c>
      <c r="O19" s="8" t="n">
        <v>0</v>
      </c>
      <c r="P19" s="5" t="inlineStr">
        <is>
          <t>N/A</t>
        </is>
      </c>
      <c r="Q19" s="8">
        <f>IFERROR(G19/L19,0)</f>
        <v/>
      </c>
      <c r="R19" s="8" t="n">
        <v>0</v>
      </c>
      <c r="S19" s="10">
        <f>IFERROR(R19/G19,0)</f>
        <v/>
      </c>
    </row>
    <row r="20">
      <c r="A20" s="7" t="n">
        <v>46161</v>
      </c>
      <c r="B20" s="5" t="inlineStr">
        <is>
          <t>Vantage CRM</t>
        </is>
      </c>
      <c r="C20" s="5" t="inlineStr">
        <is>
          <t>SaaS / B2B Tech</t>
        </is>
      </c>
      <c r="D20" s="5" t="inlineStr">
        <is>
          <t>B2B</t>
        </is>
      </c>
      <c r="E20" s="5" t="inlineStr">
        <is>
          <t>LinkedIn</t>
        </is>
      </c>
      <c r="F20" s="5" t="inlineStr">
        <is>
          <t>vantagecrm.example.com</t>
        </is>
      </c>
      <c r="G20" s="8" t="n">
        <v>3547</v>
      </c>
      <c r="H20" s="8" t="n">
        <v>0</v>
      </c>
      <c r="I20" s="8" t="n">
        <v>0</v>
      </c>
      <c r="J20" s="9">
        <f>I20/H20</f>
        <v/>
      </c>
      <c r="K20" s="8" t="n">
        <v>0</v>
      </c>
      <c r="L20" s="8" t="n">
        <v>0</v>
      </c>
      <c r="M20" s="5" t="n">
        <v>0</v>
      </c>
      <c r="N20" s="5" t="n">
        <v>0</v>
      </c>
      <c r="O20" s="8" t="n">
        <v>0</v>
      </c>
      <c r="P20" s="5" t="inlineStr">
        <is>
          <t>N/A</t>
        </is>
      </c>
      <c r="Q20" s="8">
        <f>IFERROR(G20/L20,0)</f>
        <v/>
      </c>
      <c r="R20" s="8" t="n">
        <v>0</v>
      </c>
      <c r="S20" s="10">
        <f>IFERROR(R20/G20,0)</f>
        <v/>
      </c>
    </row>
    <row r="21">
      <c r="A21" s="7" t="n">
        <v>46162</v>
      </c>
      <c r="B21" s="5" t="inlineStr">
        <is>
          <t>Vantage CRM</t>
        </is>
      </c>
      <c r="C21" s="5" t="inlineStr">
        <is>
          <t>SaaS / B2B Tech</t>
        </is>
      </c>
      <c r="D21" s="5" t="inlineStr">
        <is>
          <t>B2B</t>
        </is>
      </c>
      <c r="E21" s="5" t="inlineStr">
        <is>
          <t>LinkedIn</t>
        </is>
      </c>
      <c r="F21" s="5" t="inlineStr">
        <is>
          <t>vantagecrm.example.com</t>
        </is>
      </c>
      <c r="G21" s="8" t="n">
        <v>3481</v>
      </c>
      <c r="H21" s="8" t="n">
        <v>0</v>
      </c>
      <c r="I21" s="8" t="n">
        <v>0</v>
      </c>
      <c r="J21" s="9">
        <f>I21/H21</f>
        <v/>
      </c>
      <c r="K21" s="8" t="n">
        <v>0</v>
      </c>
      <c r="L21" s="8" t="n">
        <v>0</v>
      </c>
      <c r="M21" s="5" t="n">
        <v>0</v>
      </c>
      <c r="N21" s="5" t="n">
        <v>0</v>
      </c>
      <c r="O21" s="8" t="n">
        <v>0</v>
      </c>
      <c r="P21" s="5" t="inlineStr">
        <is>
          <t>N/A</t>
        </is>
      </c>
      <c r="Q21" s="8">
        <f>IFERROR(G21/L21,0)</f>
        <v/>
      </c>
      <c r="R21" s="8" t="n">
        <v>0</v>
      </c>
      <c r="S21" s="10">
        <f>IFERROR(R21/G21,0)</f>
        <v/>
      </c>
    </row>
    <row r="22">
      <c r="A22" s="7" t="n">
        <v>46163</v>
      </c>
      <c r="B22" s="5" t="inlineStr">
        <is>
          <t>Vantage CRM</t>
        </is>
      </c>
      <c r="C22" s="5" t="inlineStr">
        <is>
          <t>SaaS / B2B Tech</t>
        </is>
      </c>
      <c r="D22" s="5" t="inlineStr">
        <is>
          <t>B2B</t>
        </is>
      </c>
      <c r="E22" s="5" t="inlineStr">
        <is>
          <t>LinkedIn</t>
        </is>
      </c>
      <c r="F22" s="5" t="inlineStr">
        <is>
          <t>vantagecrm.example.com</t>
        </is>
      </c>
      <c r="G22" s="8" t="n">
        <v>3475</v>
      </c>
      <c r="H22" s="8" t="n">
        <v>0</v>
      </c>
      <c r="I22" s="8" t="n">
        <v>0</v>
      </c>
      <c r="J22" s="9">
        <f>I22/H22</f>
        <v/>
      </c>
      <c r="K22" s="8" t="n">
        <v>0</v>
      </c>
      <c r="L22" s="8" t="n">
        <v>0</v>
      </c>
      <c r="M22" s="5" t="n">
        <v>0</v>
      </c>
      <c r="N22" s="5" t="n">
        <v>0</v>
      </c>
      <c r="O22" s="8" t="n">
        <v>0</v>
      </c>
      <c r="P22" s="5" t="inlineStr">
        <is>
          <t>N/A</t>
        </is>
      </c>
      <c r="Q22" s="8">
        <f>IFERROR(G22/L22,0)</f>
        <v/>
      </c>
      <c r="R22" s="8" t="n">
        <v>0</v>
      </c>
      <c r="S22" s="10">
        <f>IFERROR(R22/G22,0)</f>
        <v/>
      </c>
    </row>
    <row r="23">
      <c r="A23" s="7" t="n">
        <v>46164</v>
      </c>
      <c r="B23" s="5" t="inlineStr">
        <is>
          <t>Vantage CRM</t>
        </is>
      </c>
      <c r="C23" s="5" t="inlineStr">
        <is>
          <t>SaaS / B2B Tech</t>
        </is>
      </c>
      <c r="D23" s="5" t="inlineStr">
        <is>
          <t>B2B</t>
        </is>
      </c>
      <c r="E23" s="5" t="inlineStr">
        <is>
          <t>LinkedIn</t>
        </is>
      </c>
      <c r="F23" s="5" t="inlineStr">
        <is>
          <t>vantagecrm.example.com</t>
        </is>
      </c>
      <c r="G23" s="8" t="n">
        <v>3498</v>
      </c>
      <c r="H23" s="8" t="n">
        <v>2721</v>
      </c>
      <c r="I23" s="8" t="n">
        <v>57</v>
      </c>
      <c r="J23" s="9">
        <f>I23/H23</f>
        <v/>
      </c>
      <c r="K23" s="8" t="n">
        <v>51</v>
      </c>
      <c r="L23" s="8" t="n">
        <v>2</v>
      </c>
      <c r="M23" s="5" t="n">
        <v>2</v>
      </c>
      <c r="N23" s="5" t="n">
        <v>0</v>
      </c>
      <c r="O23" s="8" t="n">
        <v>0</v>
      </c>
      <c r="P23" s="5" t="inlineStr">
        <is>
          <t>N/A</t>
        </is>
      </c>
      <c r="Q23" s="8">
        <f>IFERROR(G23/L23,0)</f>
        <v/>
      </c>
      <c r="R23" s="8" t="n">
        <v>0</v>
      </c>
      <c r="S23" s="10">
        <f>IFERROR(R23/G23,0)</f>
        <v/>
      </c>
    </row>
    <row r="24">
      <c r="A24" s="7" t="n">
        <v>46165</v>
      </c>
      <c r="B24" s="5" t="inlineStr">
        <is>
          <t>Vantage CRM</t>
        </is>
      </c>
      <c r="C24" s="5" t="inlineStr">
        <is>
          <t>SaaS / B2B Tech</t>
        </is>
      </c>
      <c r="D24" s="5" t="inlineStr">
        <is>
          <t>B2B</t>
        </is>
      </c>
      <c r="E24" s="5" t="inlineStr">
        <is>
          <t>LinkedIn</t>
        </is>
      </c>
      <c r="F24" s="5" t="inlineStr">
        <is>
          <t>vantagecrm.example.com</t>
        </is>
      </c>
      <c r="G24" s="8" t="n">
        <v>3547</v>
      </c>
      <c r="H24" s="8" t="n">
        <v>2721</v>
      </c>
      <c r="I24" s="8" t="n">
        <v>57</v>
      </c>
      <c r="J24" s="9">
        <f>I24/H24</f>
        <v/>
      </c>
      <c r="K24" s="8" t="n">
        <v>51</v>
      </c>
      <c r="L24" s="8" t="n">
        <v>2</v>
      </c>
      <c r="M24" s="5" t="n">
        <v>2</v>
      </c>
      <c r="N24" s="5" t="n">
        <v>0</v>
      </c>
      <c r="O24" s="8" t="n">
        <v>0</v>
      </c>
      <c r="P24" s="5" t="inlineStr">
        <is>
          <t>N/A</t>
        </is>
      </c>
      <c r="Q24" s="8">
        <f>IFERROR(G24/L24,0)</f>
        <v/>
      </c>
      <c r="R24" s="8" t="n">
        <v>0</v>
      </c>
      <c r="S24" s="10">
        <f>IFERROR(R24/G24,0)</f>
        <v/>
      </c>
    </row>
    <row r="25">
      <c r="A25" s="7" t="n">
        <v>46166</v>
      </c>
      <c r="B25" s="5" t="inlineStr">
        <is>
          <t>Vantage CRM</t>
        </is>
      </c>
      <c r="C25" s="5" t="inlineStr">
        <is>
          <t>SaaS / B2B Tech</t>
        </is>
      </c>
      <c r="D25" s="5" t="inlineStr">
        <is>
          <t>B2B</t>
        </is>
      </c>
      <c r="E25" s="5" t="inlineStr">
        <is>
          <t>LinkedIn</t>
        </is>
      </c>
      <c r="F25" s="5" t="inlineStr">
        <is>
          <t>vantagecrm.example.com</t>
        </is>
      </c>
      <c r="G25" s="8" t="n">
        <v>2898</v>
      </c>
      <c r="H25" s="8" t="n">
        <v>2721</v>
      </c>
      <c r="I25" s="8" t="n">
        <v>57</v>
      </c>
      <c r="J25" s="9">
        <f>I25/H25</f>
        <v/>
      </c>
      <c r="K25" s="8" t="n">
        <v>52</v>
      </c>
      <c r="L25" s="8" t="n">
        <v>2</v>
      </c>
      <c r="M25" s="5" t="n">
        <v>2</v>
      </c>
      <c r="N25" s="5" t="n">
        <v>1</v>
      </c>
      <c r="O25" s="8" t="n">
        <v>42000</v>
      </c>
      <c r="P25" s="5" t="inlineStr">
        <is>
          <t>N/A</t>
        </is>
      </c>
      <c r="Q25" s="8">
        <f>IFERROR(G25/L25,0)</f>
        <v/>
      </c>
      <c r="R25" s="8" t="n">
        <v>46408</v>
      </c>
      <c r="S25" s="10">
        <f>IFERROR(R25/G25,0)</f>
        <v/>
      </c>
    </row>
    <row r="26">
      <c r="A26" s="7" t="n">
        <v>46167</v>
      </c>
      <c r="B26" s="5" t="inlineStr">
        <is>
          <t>Vantage CRM</t>
        </is>
      </c>
      <c r="C26" s="5" t="inlineStr">
        <is>
          <t>SaaS / B2B Tech</t>
        </is>
      </c>
      <c r="D26" s="5" t="inlineStr">
        <is>
          <t>B2B</t>
        </is>
      </c>
      <c r="E26" s="5" t="inlineStr">
        <is>
          <t>LinkedIn</t>
        </is>
      </c>
      <c r="F26" s="5" t="inlineStr">
        <is>
          <t>vantagecrm.example.com</t>
        </is>
      </c>
      <c r="G26" s="8" t="n">
        <v>3313</v>
      </c>
      <c r="H26" s="8" t="n">
        <v>2721</v>
      </c>
      <c r="I26" s="8" t="n">
        <v>57</v>
      </c>
      <c r="J26" s="9">
        <f>I26/H26</f>
        <v/>
      </c>
      <c r="K26" s="8" t="n">
        <v>53</v>
      </c>
      <c r="L26" s="8" t="n">
        <v>2</v>
      </c>
      <c r="M26" s="5" t="n">
        <v>2</v>
      </c>
      <c r="N26" s="5" t="n">
        <v>1</v>
      </c>
      <c r="O26" s="8" t="n">
        <v>0</v>
      </c>
      <c r="P26" s="5" t="inlineStr">
        <is>
          <t>N/A</t>
        </is>
      </c>
      <c r="Q26" s="8">
        <f>IFERROR(G26/L26,0)</f>
        <v/>
      </c>
      <c r="R26" s="8" t="n">
        <v>0</v>
      </c>
      <c r="S26" s="10">
        <f>IFERROR(R26/G26,0)</f>
        <v/>
      </c>
    </row>
    <row r="27">
      <c r="A27" s="7" t="n">
        <v>46168</v>
      </c>
      <c r="B27" s="5" t="inlineStr">
        <is>
          <t>Vantage CRM</t>
        </is>
      </c>
      <c r="C27" s="5" t="inlineStr">
        <is>
          <t>SaaS / B2B Tech</t>
        </is>
      </c>
      <c r="D27" s="5" t="inlineStr">
        <is>
          <t>B2B</t>
        </is>
      </c>
      <c r="E27" s="5" t="inlineStr">
        <is>
          <t>LinkedIn</t>
        </is>
      </c>
      <c r="F27" s="5" t="inlineStr">
        <is>
          <t>vantagecrm.example.com</t>
        </is>
      </c>
      <c r="G27" s="8" t="n">
        <v>2881</v>
      </c>
      <c r="H27" s="8" t="n">
        <v>2721</v>
      </c>
      <c r="I27" s="8" t="n">
        <v>57</v>
      </c>
      <c r="J27" s="9">
        <f>I27/H27</f>
        <v/>
      </c>
      <c r="K27" s="8" t="n">
        <v>52</v>
      </c>
      <c r="L27" s="8" t="n">
        <v>2</v>
      </c>
      <c r="M27" s="5" t="n">
        <v>2</v>
      </c>
      <c r="N27" s="5" t="n">
        <v>0</v>
      </c>
      <c r="O27" s="8" t="n">
        <v>0</v>
      </c>
      <c r="P27" s="5" t="inlineStr">
        <is>
          <t>N/A</t>
        </is>
      </c>
      <c r="Q27" s="8">
        <f>IFERROR(G27/L27,0)</f>
        <v/>
      </c>
      <c r="R27" s="8" t="n">
        <v>0</v>
      </c>
      <c r="S27" s="10">
        <f>IFERROR(R27/G27,0)</f>
        <v/>
      </c>
    </row>
    <row r="28">
      <c r="A28" s="7" t="n">
        <v>46169</v>
      </c>
      <c r="B28" s="5" t="inlineStr">
        <is>
          <t>Vantage CRM</t>
        </is>
      </c>
      <c r="C28" s="5" t="inlineStr">
        <is>
          <t>SaaS / B2B Tech</t>
        </is>
      </c>
      <c r="D28" s="5" t="inlineStr">
        <is>
          <t>B2B</t>
        </is>
      </c>
      <c r="E28" s="5" t="inlineStr">
        <is>
          <t>LinkedIn</t>
        </is>
      </c>
      <c r="F28" s="5" t="inlineStr">
        <is>
          <t>vantagecrm.example.com</t>
        </is>
      </c>
      <c r="G28" s="8" t="n">
        <v>3409</v>
      </c>
      <c r="H28" s="8" t="n">
        <v>5442</v>
      </c>
      <c r="I28" s="8" t="n">
        <v>114</v>
      </c>
      <c r="J28" s="9">
        <f>I28/H28</f>
        <v/>
      </c>
      <c r="K28" s="8" t="n">
        <v>107</v>
      </c>
      <c r="L28" s="8" t="n">
        <v>4</v>
      </c>
      <c r="M28" s="5" t="n">
        <v>4</v>
      </c>
      <c r="N28" s="5" t="n">
        <v>1</v>
      </c>
      <c r="O28" s="8" t="n">
        <v>0</v>
      </c>
      <c r="P28" s="5" t="inlineStr">
        <is>
          <t>N/A</t>
        </is>
      </c>
      <c r="Q28" s="8">
        <f>IFERROR(G28/L28,0)</f>
        <v/>
      </c>
      <c r="R28" s="8" t="n">
        <v>0</v>
      </c>
      <c r="S28" s="10">
        <f>IFERROR(R28/G28,0)</f>
        <v/>
      </c>
    </row>
    <row r="29">
      <c r="A29" s="7" t="n">
        <v>46170</v>
      </c>
      <c r="B29" s="5" t="inlineStr">
        <is>
          <t>Vantage CRM</t>
        </is>
      </c>
      <c r="C29" s="5" t="inlineStr">
        <is>
          <t>SaaS / B2B Tech</t>
        </is>
      </c>
      <c r="D29" s="5" t="inlineStr">
        <is>
          <t>B2B</t>
        </is>
      </c>
      <c r="E29" s="5" t="inlineStr">
        <is>
          <t>LinkedIn</t>
        </is>
      </c>
      <c r="F29" s="5" t="inlineStr">
        <is>
          <t>vantagecrm.example.com</t>
        </is>
      </c>
      <c r="G29" s="8" t="n">
        <v>3399</v>
      </c>
      <c r="H29" s="8" t="n">
        <v>1361</v>
      </c>
      <c r="I29" s="8" t="n">
        <v>29</v>
      </c>
      <c r="J29" s="9">
        <f>I29/H29</f>
        <v/>
      </c>
      <c r="K29" s="8" t="n">
        <v>26</v>
      </c>
      <c r="L29" s="8" t="n">
        <v>1</v>
      </c>
      <c r="M29" s="5" t="n">
        <v>1</v>
      </c>
      <c r="N29" s="5" t="n">
        <v>1</v>
      </c>
      <c r="O29" s="8" t="n">
        <v>0</v>
      </c>
      <c r="P29" s="5" t="inlineStr">
        <is>
          <t>N/A</t>
        </is>
      </c>
      <c r="Q29" s="8">
        <f>IFERROR(G29/L29,0)</f>
        <v/>
      </c>
      <c r="R29" s="8" t="n">
        <v>0</v>
      </c>
      <c r="S29" s="10">
        <f>IFERROR(R29/G29,0)</f>
        <v/>
      </c>
    </row>
    <row r="30">
      <c r="A30" s="7" t="n">
        <v>46171</v>
      </c>
      <c r="B30" s="5" t="inlineStr">
        <is>
          <t>Vantage CRM</t>
        </is>
      </c>
      <c r="C30" s="5" t="inlineStr">
        <is>
          <t>SaaS / B2B Tech</t>
        </is>
      </c>
      <c r="D30" s="5" t="inlineStr">
        <is>
          <t>B2B</t>
        </is>
      </c>
      <c r="E30" s="5" t="inlineStr">
        <is>
          <t>LinkedIn</t>
        </is>
      </c>
      <c r="F30" s="5" t="inlineStr">
        <is>
          <t>vantagecrm.example.com</t>
        </is>
      </c>
      <c r="G30" s="8" t="n">
        <v>3649</v>
      </c>
      <c r="H30" s="8" t="n">
        <v>1361</v>
      </c>
      <c r="I30" s="8" t="n">
        <v>29</v>
      </c>
      <c r="J30" s="9">
        <f>I30/H30</f>
        <v/>
      </c>
      <c r="K30" s="8" t="n">
        <v>25</v>
      </c>
      <c r="L30" s="8" t="n">
        <v>1</v>
      </c>
      <c r="M30" s="5" t="n">
        <v>1</v>
      </c>
      <c r="N30" s="5" t="n">
        <v>1</v>
      </c>
      <c r="O30" s="8" t="n">
        <v>0</v>
      </c>
      <c r="P30" s="5" t="inlineStr">
        <is>
          <t>N/A</t>
        </is>
      </c>
      <c r="Q30" s="8">
        <f>IFERROR(G30/L30,0)</f>
        <v/>
      </c>
      <c r="R30" s="8" t="n">
        <v>0</v>
      </c>
      <c r="S30" s="10">
        <f>IFERROR(R30/G30,0)</f>
        <v/>
      </c>
    </row>
    <row r="31">
      <c r="A31" s="7" t="n">
        <v>46172</v>
      </c>
      <c r="B31" s="5" t="inlineStr">
        <is>
          <t>Vantage CRM</t>
        </is>
      </c>
      <c r="C31" s="5" t="inlineStr">
        <is>
          <t>SaaS / B2B Tech</t>
        </is>
      </c>
      <c r="D31" s="5" t="inlineStr">
        <is>
          <t>B2B</t>
        </is>
      </c>
      <c r="E31" s="5" t="inlineStr">
        <is>
          <t>LinkedIn</t>
        </is>
      </c>
      <c r="F31" s="5" t="inlineStr">
        <is>
          <t>vantagecrm.example.com</t>
        </is>
      </c>
      <c r="G31" s="8" t="n">
        <v>3683</v>
      </c>
      <c r="H31" s="8" t="n">
        <v>1361</v>
      </c>
      <c r="I31" s="8" t="n">
        <v>29</v>
      </c>
      <c r="J31" s="9">
        <f>I31/H31</f>
        <v/>
      </c>
      <c r="K31" s="8" t="n">
        <v>26</v>
      </c>
      <c r="L31" s="8" t="n">
        <v>1</v>
      </c>
      <c r="M31" s="5" t="n">
        <v>1</v>
      </c>
      <c r="N31" s="5" t="n">
        <v>0</v>
      </c>
      <c r="O31" s="8" t="n">
        <v>0</v>
      </c>
      <c r="P31" s="5" t="inlineStr">
        <is>
          <t>N/A</t>
        </is>
      </c>
      <c r="Q31" s="8">
        <f>IFERROR(G31/L31,0)</f>
        <v/>
      </c>
      <c r="R31" s="8" t="n">
        <v>0</v>
      </c>
      <c r="S31" s="10">
        <f>IFERROR(R31/G31,0)</f>
        <v/>
      </c>
    </row>
    <row r="32">
      <c r="A32" s="7" t="n">
        <v>46173</v>
      </c>
      <c r="B32" s="5" t="inlineStr">
        <is>
          <t>Vantage CRM</t>
        </is>
      </c>
      <c r="C32" s="5" t="inlineStr">
        <is>
          <t>SaaS / B2B Tech</t>
        </is>
      </c>
      <c r="D32" s="5" t="inlineStr">
        <is>
          <t>B2B</t>
        </is>
      </c>
      <c r="E32" s="5" t="inlineStr">
        <is>
          <t>LinkedIn</t>
        </is>
      </c>
      <c r="F32" s="5" t="inlineStr">
        <is>
          <t>vantagecrm.example.com</t>
        </is>
      </c>
      <c r="G32" s="8" t="n">
        <v>3448</v>
      </c>
      <c r="H32" s="8" t="n">
        <v>2721</v>
      </c>
      <c r="I32" s="8" t="n">
        <v>57</v>
      </c>
      <c r="J32" s="9">
        <f>I32/H32</f>
        <v/>
      </c>
      <c r="K32" s="8" t="n">
        <v>51</v>
      </c>
      <c r="L32" s="8" t="n">
        <v>2</v>
      </c>
      <c r="M32" s="5" t="n">
        <v>2</v>
      </c>
      <c r="N32" s="5" t="n">
        <v>1</v>
      </c>
      <c r="O32" s="8" t="n">
        <v>0</v>
      </c>
      <c r="P32" s="5" t="inlineStr">
        <is>
          <t>N/A</t>
        </is>
      </c>
      <c r="Q32" s="8">
        <f>IFERROR(G32/L32,0)</f>
        <v/>
      </c>
      <c r="R32" s="8" t="n">
        <v>0</v>
      </c>
      <c r="S32" s="10">
        <f>IFERROR(R32/G32,0)</f>
        <v/>
      </c>
    </row>
    <row r="33">
      <c r="A33" s="7" t="n">
        <v>46143</v>
      </c>
      <c r="B33" s="5" t="inlineStr">
        <is>
          <t>Lumiere Skincare</t>
        </is>
      </c>
      <c r="C33" s="5" t="inlineStr">
        <is>
          <t>Beauty / Cosmetics</t>
        </is>
      </c>
      <c r="D33" s="5" t="inlineStr">
        <is>
          <t>B2C</t>
        </is>
      </c>
      <c r="E33" s="5" t="inlineStr">
        <is>
          <t>Instagram</t>
        </is>
      </c>
      <c r="F33" s="5" t="inlineStr">
        <is>
          <t>lumiereskincare.example.com</t>
        </is>
      </c>
      <c r="G33" s="8" t="n">
        <v>4711</v>
      </c>
      <c r="H33" s="8" t="n">
        <v>19619</v>
      </c>
      <c r="I33" s="8" t="n">
        <v>412</v>
      </c>
      <c r="J33" s="9">
        <f>I33/H33</f>
        <v/>
      </c>
      <c r="K33" s="8" t="n">
        <v>359</v>
      </c>
      <c r="L33" s="8" t="n">
        <v>11</v>
      </c>
      <c r="M33" s="5" t="inlineStr">
        <is>
          <t>N/A</t>
        </is>
      </c>
      <c r="N33" s="5" t="inlineStr">
        <is>
          <t>N/A</t>
        </is>
      </c>
      <c r="O33" s="8" t="inlineStr">
        <is>
          <t>N/A</t>
        </is>
      </c>
      <c r="P33" s="5" t="n">
        <v>11</v>
      </c>
      <c r="Q33" s="8">
        <f>IFERROR(G33/L33,0)</f>
        <v/>
      </c>
      <c r="R33" s="8" t="n">
        <v>15532</v>
      </c>
      <c r="S33" s="10">
        <f>IFERROR(R33/G33,0)</f>
        <v/>
      </c>
    </row>
    <row r="34">
      <c r="A34" s="7" t="n">
        <v>46144</v>
      </c>
      <c r="B34" s="5" t="inlineStr">
        <is>
          <t>Lumiere Skincare</t>
        </is>
      </c>
      <c r="C34" s="5" t="inlineStr">
        <is>
          <t>Beauty / Cosmetics</t>
        </is>
      </c>
      <c r="D34" s="5" t="inlineStr">
        <is>
          <t>B2C</t>
        </is>
      </c>
      <c r="E34" s="5" t="inlineStr">
        <is>
          <t>Instagram</t>
        </is>
      </c>
      <c r="F34" s="5" t="inlineStr">
        <is>
          <t>lumiereskincare.example.com</t>
        </is>
      </c>
      <c r="G34" s="8" t="n">
        <v>4058</v>
      </c>
      <c r="H34" s="8" t="n">
        <v>15691</v>
      </c>
      <c r="I34" s="8" t="n">
        <v>330</v>
      </c>
      <c r="J34" s="9">
        <f>I34/H34</f>
        <v/>
      </c>
      <c r="K34" s="8" t="n">
        <v>309</v>
      </c>
      <c r="L34" s="8" t="n">
        <v>9</v>
      </c>
      <c r="M34" s="5" t="inlineStr">
        <is>
          <t>N/A</t>
        </is>
      </c>
      <c r="N34" s="5" t="inlineStr">
        <is>
          <t>N/A</t>
        </is>
      </c>
      <c r="O34" s="8" t="inlineStr">
        <is>
          <t>N/A</t>
        </is>
      </c>
      <c r="P34" s="5" t="n">
        <v>9</v>
      </c>
      <c r="Q34" s="8">
        <f>IFERROR(G34/L34,0)</f>
        <v/>
      </c>
      <c r="R34" s="8" t="n">
        <v>12423</v>
      </c>
      <c r="S34" s="10">
        <f>IFERROR(R34/G34,0)</f>
        <v/>
      </c>
    </row>
    <row r="35">
      <c r="A35" s="7" t="n">
        <v>46145</v>
      </c>
      <c r="B35" s="5" t="inlineStr">
        <is>
          <t>Lumiere Skincare</t>
        </is>
      </c>
      <c r="C35" s="5" t="inlineStr">
        <is>
          <t>Beauty / Cosmetics</t>
        </is>
      </c>
      <c r="D35" s="5" t="inlineStr">
        <is>
          <t>B2C</t>
        </is>
      </c>
      <c r="E35" s="5" t="inlineStr">
        <is>
          <t>Instagram</t>
        </is>
      </c>
      <c r="F35" s="5" t="inlineStr">
        <is>
          <t>lumiereskincare.example.com</t>
        </is>
      </c>
      <c r="G35" s="8" t="n">
        <v>4494</v>
      </c>
      <c r="H35" s="8" t="n">
        <v>16131</v>
      </c>
      <c r="I35" s="8" t="n">
        <v>339</v>
      </c>
      <c r="J35" s="9">
        <f>I35/H35</f>
        <v/>
      </c>
      <c r="K35" s="8" t="n">
        <v>305</v>
      </c>
      <c r="L35" s="8" t="n">
        <v>9</v>
      </c>
      <c r="M35" s="5" t="inlineStr">
        <is>
          <t>N/A</t>
        </is>
      </c>
      <c r="N35" s="5" t="inlineStr">
        <is>
          <t>N/A</t>
        </is>
      </c>
      <c r="O35" s="8" t="inlineStr">
        <is>
          <t>N/A</t>
        </is>
      </c>
      <c r="P35" s="5" t="n">
        <v>9</v>
      </c>
      <c r="Q35" s="8">
        <f>IFERROR(G35/L35,0)</f>
        <v/>
      </c>
      <c r="R35" s="8" t="n">
        <v>12771</v>
      </c>
      <c r="S35" s="10">
        <f>IFERROR(R35/G35,0)</f>
        <v/>
      </c>
    </row>
    <row r="36">
      <c r="A36" s="7" t="n">
        <v>46146</v>
      </c>
      <c r="B36" s="5" t="inlineStr">
        <is>
          <t>Lumiere Skincare</t>
        </is>
      </c>
      <c r="C36" s="5" t="inlineStr">
        <is>
          <t>Beauty / Cosmetics</t>
        </is>
      </c>
      <c r="D36" s="5" t="inlineStr">
        <is>
          <t>B2C</t>
        </is>
      </c>
      <c r="E36" s="5" t="inlineStr">
        <is>
          <t>Instagram</t>
        </is>
      </c>
      <c r="F36" s="5" t="inlineStr">
        <is>
          <t>lumiereskincare.example.com</t>
        </is>
      </c>
      <c r="G36" s="8" t="n">
        <v>4229</v>
      </c>
      <c r="H36" s="8" t="n">
        <v>15265</v>
      </c>
      <c r="I36" s="8" t="n">
        <v>321</v>
      </c>
      <c r="J36" s="9">
        <f>I36/H36</f>
        <v/>
      </c>
      <c r="K36" s="8" t="n">
        <v>298</v>
      </c>
      <c r="L36" s="8" t="n">
        <v>8</v>
      </c>
      <c r="M36" s="5" t="inlineStr">
        <is>
          <t>N/A</t>
        </is>
      </c>
      <c r="N36" s="5" t="inlineStr">
        <is>
          <t>N/A</t>
        </is>
      </c>
      <c r="O36" s="8" t="inlineStr">
        <is>
          <t>N/A</t>
        </is>
      </c>
      <c r="P36" s="5" t="n">
        <v>8</v>
      </c>
      <c r="Q36" s="8">
        <f>IFERROR(G36/L36,0)</f>
        <v/>
      </c>
      <c r="R36" s="8" t="n">
        <v>12085</v>
      </c>
      <c r="S36" s="10">
        <f>IFERROR(R36/G36,0)</f>
        <v/>
      </c>
    </row>
    <row r="37">
      <c r="A37" s="7" t="n">
        <v>46147</v>
      </c>
      <c r="B37" s="5" t="inlineStr">
        <is>
          <t>Lumiere Skincare</t>
        </is>
      </c>
      <c r="C37" s="5" t="inlineStr">
        <is>
          <t>Beauty / Cosmetics</t>
        </is>
      </c>
      <c r="D37" s="5" t="inlineStr">
        <is>
          <t>B2C</t>
        </is>
      </c>
      <c r="E37" s="5" t="inlineStr">
        <is>
          <t>Instagram</t>
        </is>
      </c>
      <c r="F37" s="5" t="inlineStr">
        <is>
          <t>lumiereskincare.example.com</t>
        </is>
      </c>
      <c r="G37" s="8" t="n">
        <v>4434</v>
      </c>
      <c r="H37" s="8" t="n">
        <v>12509</v>
      </c>
      <c r="I37" s="8" t="n">
        <v>263</v>
      </c>
      <c r="J37" s="9">
        <f>I37/H37</f>
        <v/>
      </c>
      <c r="K37" s="8" t="n">
        <v>225</v>
      </c>
      <c r="L37" s="8" t="n">
        <v>7</v>
      </c>
      <c r="M37" s="5" t="inlineStr">
        <is>
          <t>N/A</t>
        </is>
      </c>
      <c r="N37" s="5" t="inlineStr">
        <is>
          <t>N/A</t>
        </is>
      </c>
      <c r="O37" s="8" t="inlineStr">
        <is>
          <t>N/A</t>
        </is>
      </c>
      <c r="P37" s="5" t="n">
        <v>7</v>
      </c>
      <c r="Q37" s="8">
        <f>IFERROR(G37/L37,0)</f>
        <v/>
      </c>
      <c r="R37" s="8" t="n">
        <v>9903</v>
      </c>
      <c r="S37" s="10">
        <f>IFERROR(R37/G37,0)</f>
        <v/>
      </c>
    </row>
    <row r="38">
      <c r="A38" s="7" t="n">
        <v>46148</v>
      </c>
      <c r="B38" s="5" t="inlineStr">
        <is>
          <t>Lumiere Skincare</t>
        </is>
      </c>
      <c r="C38" s="5" t="inlineStr">
        <is>
          <t>Beauty / Cosmetics</t>
        </is>
      </c>
      <c r="D38" s="5" t="inlineStr">
        <is>
          <t>B2C</t>
        </is>
      </c>
      <c r="E38" s="5" t="inlineStr">
        <is>
          <t>Instagram</t>
        </is>
      </c>
      <c r="F38" s="5" t="inlineStr">
        <is>
          <t>lumiereskincare.example.com</t>
        </is>
      </c>
      <c r="G38" s="8" t="n">
        <v>4069</v>
      </c>
      <c r="H38" s="8" t="n">
        <v>15894</v>
      </c>
      <c r="I38" s="8" t="n">
        <v>334</v>
      </c>
      <c r="J38" s="9">
        <f>I38/H38</f>
        <v/>
      </c>
      <c r="K38" s="8" t="n">
        <v>304</v>
      </c>
      <c r="L38" s="8" t="n">
        <v>9</v>
      </c>
      <c r="M38" s="5" t="inlineStr">
        <is>
          <t>N/A</t>
        </is>
      </c>
      <c r="N38" s="5" t="inlineStr">
        <is>
          <t>N/A</t>
        </is>
      </c>
      <c r="O38" s="8" t="inlineStr">
        <is>
          <t>N/A</t>
        </is>
      </c>
      <c r="P38" s="5" t="n">
        <v>9</v>
      </c>
      <c r="Q38" s="8">
        <f>IFERROR(G38/L38,0)</f>
        <v/>
      </c>
      <c r="R38" s="8" t="n">
        <v>12583</v>
      </c>
      <c r="S38" s="10">
        <f>IFERROR(R38/G38,0)</f>
        <v/>
      </c>
    </row>
    <row r="39">
      <c r="A39" s="7" t="n">
        <v>46149</v>
      </c>
      <c r="B39" s="5" t="inlineStr">
        <is>
          <t>Lumiere Skincare</t>
        </is>
      </c>
      <c r="C39" s="5" t="inlineStr">
        <is>
          <t>Beauty / Cosmetics</t>
        </is>
      </c>
      <c r="D39" s="5" t="inlineStr">
        <is>
          <t>B2C</t>
        </is>
      </c>
      <c r="E39" s="5" t="inlineStr">
        <is>
          <t>Instagram</t>
        </is>
      </c>
      <c r="F39" s="5" t="inlineStr">
        <is>
          <t>lumiereskincare.example.com</t>
        </is>
      </c>
      <c r="G39" s="8" t="n">
        <v>4185</v>
      </c>
      <c r="H39" s="8" t="n">
        <v>17469</v>
      </c>
      <c r="I39" s="8" t="n">
        <v>367</v>
      </c>
      <c r="J39" s="9">
        <f>I39/H39</f>
        <v/>
      </c>
      <c r="K39" s="8" t="n">
        <v>337</v>
      </c>
      <c r="L39" s="8" t="n">
        <v>10</v>
      </c>
      <c r="M39" s="5" t="inlineStr">
        <is>
          <t>N/A</t>
        </is>
      </c>
      <c r="N39" s="5" t="inlineStr">
        <is>
          <t>N/A</t>
        </is>
      </c>
      <c r="O39" s="8" t="inlineStr">
        <is>
          <t>N/A</t>
        </is>
      </c>
      <c r="P39" s="5" t="n">
        <v>10</v>
      </c>
      <c r="Q39" s="8">
        <f>IFERROR(G39/L39,0)</f>
        <v/>
      </c>
      <c r="R39" s="8" t="n">
        <v>13830</v>
      </c>
      <c r="S39" s="10">
        <f>IFERROR(R39/G39,0)</f>
        <v/>
      </c>
    </row>
    <row r="40">
      <c r="A40" s="7" t="n">
        <v>46150</v>
      </c>
      <c r="B40" s="5" t="inlineStr">
        <is>
          <t>Lumiere Skincare</t>
        </is>
      </c>
      <c r="C40" s="5" t="inlineStr">
        <is>
          <t>Beauty / Cosmetics</t>
        </is>
      </c>
      <c r="D40" s="5" t="inlineStr">
        <is>
          <t>B2C</t>
        </is>
      </c>
      <c r="E40" s="5" t="inlineStr">
        <is>
          <t>Instagram</t>
        </is>
      </c>
      <c r="F40" s="5" t="inlineStr">
        <is>
          <t>lumiereskincare.example.com</t>
        </is>
      </c>
      <c r="G40" s="8" t="n">
        <v>4166</v>
      </c>
      <c r="H40" s="8" t="n">
        <v>12802</v>
      </c>
      <c r="I40" s="8" t="n">
        <v>269</v>
      </c>
      <c r="J40" s="9">
        <f>I40/H40</f>
        <v/>
      </c>
      <c r="K40" s="8" t="n">
        <v>236</v>
      </c>
      <c r="L40" s="8" t="n">
        <v>7</v>
      </c>
      <c r="M40" s="5" t="inlineStr">
        <is>
          <t>N/A</t>
        </is>
      </c>
      <c r="N40" s="5" t="inlineStr">
        <is>
          <t>N/A</t>
        </is>
      </c>
      <c r="O40" s="8" t="inlineStr">
        <is>
          <t>N/A</t>
        </is>
      </c>
      <c r="P40" s="5" t="n">
        <v>7</v>
      </c>
      <c r="Q40" s="8">
        <f>IFERROR(G40/L40,0)</f>
        <v/>
      </c>
      <c r="R40" s="8" t="n">
        <v>10135</v>
      </c>
      <c r="S40" s="10">
        <f>IFERROR(R40/G40,0)</f>
        <v/>
      </c>
    </row>
    <row r="41">
      <c r="A41" s="7" t="n">
        <v>46151</v>
      </c>
      <c r="B41" s="5" t="inlineStr">
        <is>
          <t>Lumiere Skincare</t>
        </is>
      </c>
      <c r="C41" s="5" t="inlineStr">
        <is>
          <t>Beauty / Cosmetics</t>
        </is>
      </c>
      <c r="D41" s="5" t="inlineStr">
        <is>
          <t>B2C</t>
        </is>
      </c>
      <c r="E41" s="5" t="inlineStr">
        <is>
          <t>Instagram</t>
        </is>
      </c>
      <c r="F41" s="5" t="inlineStr">
        <is>
          <t>lumiereskincare.example.com</t>
        </is>
      </c>
      <c r="G41" s="8" t="n">
        <v>3954</v>
      </c>
      <c r="H41" s="8" t="n">
        <v>13794</v>
      </c>
      <c r="I41" s="8" t="n">
        <v>290</v>
      </c>
      <c r="J41" s="9">
        <f>I41/H41</f>
        <v/>
      </c>
      <c r="K41" s="8" t="n">
        <v>251</v>
      </c>
      <c r="L41" s="8" t="n">
        <v>8</v>
      </c>
      <c r="M41" s="5" t="inlineStr">
        <is>
          <t>N/A</t>
        </is>
      </c>
      <c r="N41" s="5" t="inlineStr">
        <is>
          <t>N/A</t>
        </is>
      </c>
      <c r="O41" s="8" t="inlineStr">
        <is>
          <t>N/A</t>
        </is>
      </c>
      <c r="P41" s="5" t="n">
        <v>8</v>
      </c>
      <c r="Q41" s="8">
        <f>IFERROR(G41/L41,0)</f>
        <v/>
      </c>
      <c r="R41" s="8" t="n">
        <v>10921</v>
      </c>
      <c r="S41" s="10">
        <f>IFERROR(R41/G41,0)</f>
        <v/>
      </c>
    </row>
    <row r="42">
      <c r="A42" s="7" t="n">
        <v>46152</v>
      </c>
      <c r="B42" s="5" t="inlineStr">
        <is>
          <t>Lumiere Skincare</t>
        </is>
      </c>
      <c r="C42" s="5" t="inlineStr">
        <is>
          <t>Beauty / Cosmetics</t>
        </is>
      </c>
      <c r="D42" s="5" t="inlineStr">
        <is>
          <t>B2C</t>
        </is>
      </c>
      <c r="E42" s="5" t="inlineStr">
        <is>
          <t>Instagram</t>
        </is>
      </c>
      <c r="F42" s="5" t="inlineStr">
        <is>
          <t>lumiereskincare.example.com</t>
        </is>
      </c>
      <c r="G42" s="8" t="n">
        <v>4395</v>
      </c>
      <c r="H42" s="8" t="n">
        <v>14340</v>
      </c>
      <c r="I42" s="8" t="n">
        <v>301</v>
      </c>
      <c r="J42" s="9">
        <f>I42/H42</f>
        <v/>
      </c>
      <c r="K42" s="8" t="n">
        <v>263</v>
      </c>
      <c r="L42" s="8" t="n">
        <v>8</v>
      </c>
      <c r="M42" s="5" t="inlineStr">
        <is>
          <t>N/A</t>
        </is>
      </c>
      <c r="N42" s="5" t="inlineStr">
        <is>
          <t>N/A</t>
        </is>
      </c>
      <c r="O42" s="8" t="inlineStr">
        <is>
          <t>N/A</t>
        </is>
      </c>
      <c r="P42" s="5" t="n">
        <v>8</v>
      </c>
      <c r="Q42" s="8">
        <f>IFERROR(G42/L42,0)</f>
        <v/>
      </c>
      <c r="R42" s="8" t="n">
        <v>11353</v>
      </c>
      <c r="S42" s="10">
        <f>IFERROR(R42/G42,0)</f>
        <v/>
      </c>
    </row>
    <row r="43">
      <c r="A43" s="7" t="n">
        <v>46153</v>
      </c>
      <c r="B43" s="5" t="inlineStr">
        <is>
          <t>Lumiere Skincare</t>
        </is>
      </c>
      <c r="C43" s="5" t="inlineStr">
        <is>
          <t>Beauty / Cosmetics</t>
        </is>
      </c>
      <c r="D43" s="5" t="inlineStr">
        <is>
          <t>B2C</t>
        </is>
      </c>
      <c r="E43" s="5" t="inlineStr">
        <is>
          <t>Instagram</t>
        </is>
      </c>
      <c r="F43" s="5" t="inlineStr">
        <is>
          <t>lumiereskincare.example.com</t>
        </is>
      </c>
      <c r="G43" s="8" t="n">
        <v>4391</v>
      </c>
      <c r="H43" s="8" t="n">
        <v>14712</v>
      </c>
      <c r="I43" s="8" t="n">
        <v>309</v>
      </c>
      <c r="J43" s="9">
        <f>I43/H43</f>
        <v/>
      </c>
      <c r="K43" s="8" t="n">
        <v>276</v>
      </c>
      <c r="L43" s="8" t="n">
        <v>8</v>
      </c>
      <c r="M43" s="5" t="inlineStr">
        <is>
          <t>N/A</t>
        </is>
      </c>
      <c r="N43" s="5" t="inlineStr">
        <is>
          <t>N/A</t>
        </is>
      </c>
      <c r="O43" s="8" t="inlineStr">
        <is>
          <t>N/A</t>
        </is>
      </c>
      <c r="P43" s="5" t="n">
        <v>8</v>
      </c>
      <c r="Q43" s="8">
        <f>IFERROR(G43/L43,0)</f>
        <v/>
      </c>
      <c r="R43" s="8" t="n">
        <v>11647</v>
      </c>
      <c r="S43" s="10">
        <f>IFERROR(R43/G43,0)</f>
        <v/>
      </c>
    </row>
    <row r="44">
      <c r="A44" s="7" t="n">
        <v>46154</v>
      </c>
      <c r="B44" s="5" t="inlineStr">
        <is>
          <t>Lumiere Skincare</t>
        </is>
      </c>
      <c r="C44" s="5" t="inlineStr">
        <is>
          <t>Beauty / Cosmetics</t>
        </is>
      </c>
      <c r="D44" s="5" t="inlineStr">
        <is>
          <t>B2C</t>
        </is>
      </c>
      <c r="E44" s="5" t="inlineStr">
        <is>
          <t>Instagram</t>
        </is>
      </c>
      <c r="F44" s="5" t="inlineStr">
        <is>
          <t>lumiereskincare.example.com</t>
        </is>
      </c>
      <c r="G44" s="8" t="n">
        <v>4375</v>
      </c>
      <c r="H44" s="8" t="n">
        <v>16683</v>
      </c>
      <c r="I44" s="8" t="n">
        <v>350</v>
      </c>
      <c r="J44" s="9">
        <f>I44/H44</f>
        <v/>
      </c>
      <c r="K44" s="8" t="n">
        <v>302</v>
      </c>
      <c r="L44" s="8" t="n">
        <v>9</v>
      </c>
      <c r="M44" s="5" t="inlineStr">
        <is>
          <t>N/A</t>
        </is>
      </c>
      <c r="N44" s="5" t="inlineStr">
        <is>
          <t>N/A</t>
        </is>
      </c>
      <c r="O44" s="8" t="inlineStr">
        <is>
          <t>N/A</t>
        </is>
      </c>
      <c r="P44" s="5" t="n">
        <v>9</v>
      </c>
      <c r="Q44" s="8">
        <f>IFERROR(G44/L44,0)</f>
        <v/>
      </c>
      <c r="R44" s="8" t="n">
        <v>13208</v>
      </c>
      <c r="S44" s="10">
        <f>IFERROR(R44/G44,0)</f>
        <v/>
      </c>
    </row>
    <row r="45">
      <c r="A45" s="7" t="n">
        <v>46155</v>
      </c>
      <c r="B45" s="5" t="inlineStr">
        <is>
          <t>Lumiere Skincare</t>
        </is>
      </c>
      <c r="C45" s="5" t="inlineStr">
        <is>
          <t>Beauty / Cosmetics</t>
        </is>
      </c>
      <c r="D45" s="5" t="inlineStr">
        <is>
          <t>B2C</t>
        </is>
      </c>
      <c r="E45" s="5" t="inlineStr">
        <is>
          <t>Instagram</t>
        </is>
      </c>
      <c r="F45" s="5" t="inlineStr">
        <is>
          <t>lumiereskincare.example.com</t>
        </is>
      </c>
      <c r="G45" s="8" t="n">
        <v>4652</v>
      </c>
      <c r="H45" s="8" t="n">
        <v>13218</v>
      </c>
      <c r="I45" s="8" t="n">
        <v>278</v>
      </c>
      <c r="J45" s="9">
        <f>I45/H45</f>
        <v/>
      </c>
      <c r="K45" s="8" t="n">
        <v>270</v>
      </c>
      <c r="L45" s="8" t="n">
        <v>7</v>
      </c>
      <c r="M45" s="5" t="inlineStr">
        <is>
          <t>N/A</t>
        </is>
      </c>
      <c r="N45" s="5" t="inlineStr">
        <is>
          <t>N/A</t>
        </is>
      </c>
      <c r="O45" s="8" t="inlineStr">
        <is>
          <t>N/A</t>
        </is>
      </c>
      <c r="P45" s="5" t="n">
        <v>7</v>
      </c>
      <c r="Q45" s="8">
        <f>IFERROR(G45/L45,0)</f>
        <v/>
      </c>
      <c r="R45" s="8" t="n">
        <v>10465</v>
      </c>
      <c r="S45" s="10">
        <f>IFERROR(R45/G45,0)</f>
        <v/>
      </c>
    </row>
    <row r="46">
      <c r="A46" s="7" t="n">
        <v>46156</v>
      </c>
      <c r="B46" s="5" t="inlineStr">
        <is>
          <t>Lumiere Skincare</t>
        </is>
      </c>
      <c r="C46" s="5" t="inlineStr">
        <is>
          <t>Beauty / Cosmetics</t>
        </is>
      </c>
      <c r="D46" s="5" t="inlineStr">
        <is>
          <t>B2C</t>
        </is>
      </c>
      <c r="E46" s="5" t="inlineStr">
        <is>
          <t>Instagram</t>
        </is>
      </c>
      <c r="F46" s="5" t="inlineStr">
        <is>
          <t>lumiereskincare.example.com</t>
        </is>
      </c>
      <c r="G46" s="8" t="n">
        <v>4626</v>
      </c>
      <c r="H46" s="8" t="n">
        <v>18822</v>
      </c>
      <c r="I46" s="8" t="n">
        <v>395</v>
      </c>
      <c r="J46" s="9">
        <f>I46/H46</f>
        <v/>
      </c>
      <c r="K46" s="8" t="n">
        <v>357</v>
      </c>
      <c r="L46" s="8" t="n">
        <v>10</v>
      </c>
      <c r="M46" s="5" t="inlineStr">
        <is>
          <t>N/A</t>
        </is>
      </c>
      <c r="N46" s="5" t="inlineStr">
        <is>
          <t>N/A</t>
        </is>
      </c>
      <c r="O46" s="8" t="inlineStr">
        <is>
          <t>N/A</t>
        </is>
      </c>
      <c r="P46" s="5" t="n">
        <v>10</v>
      </c>
      <c r="Q46" s="8">
        <f>IFERROR(G46/L46,0)</f>
        <v/>
      </c>
      <c r="R46" s="8" t="n">
        <v>14901</v>
      </c>
      <c r="S46" s="10">
        <f>IFERROR(R46/G46,0)</f>
        <v/>
      </c>
    </row>
    <row r="47">
      <c r="A47" s="7" t="n">
        <v>46157</v>
      </c>
      <c r="B47" s="5" t="inlineStr">
        <is>
          <t>Lumiere Skincare</t>
        </is>
      </c>
      <c r="C47" s="5" t="inlineStr">
        <is>
          <t>Beauty / Cosmetics</t>
        </is>
      </c>
      <c r="D47" s="5" t="inlineStr">
        <is>
          <t>B2C</t>
        </is>
      </c>
      <c r="E47" s="5" t="inlineStr">
        <is>
          <t>Instagram</t>
        </is>
      </c>
      <c r="F47" s="5" t="inlineStr">
        <is>
          <t>lumiereskincare.example.com</t>
        </is>
      </c>
      <c r="G47" s="8" t="n">
        <v>4090</v>
      </c>
      <c r="H47" s="8" t="n">
        <v>16899</v>
      </c>
      <c r="I47" s="8" t="n">
        <v>355</v>
      </c>
      <c r="J47" s="9">
        <f>I47/H47</f>
        <v/>
      </c>
      <c r="K47" s="8" t="n">
        <v>339</v>
      </c>
      <c r="L47" s="8" t="n">
        <v>9</v>
      </c>
      <c r="M47" s="5" t="inlineStr">
        <is>
          <t>N/A</t>
        </is>
      </c>
      <c r="N47" s="5" t="inlineStr">
        <is>
          <t>N/A</t>
        </is>
      </c>
      <c r="O47" s="8" t="inlineStr">
        <is>
          <t>N/A</t>
        </is>
      </c>
      <c r="P47" s="5" t="n">
        <v>9</v>
      </c>
      <c r="Q47" s="8">
        <f>IFERROR(G47/L47,0)</f>
        <v/>
      </c>
      <c r="R47" s="8" t="n">
        <v>13379</v>
      </c>
      <c r="S47" s="10">
        <f>IFERROR(R47/G47,0)</f>
        <v/>
      </c>
    </row>
    <row r="48">
      <c r="A48" s="7" t="n">
        <v>46158</v>
      </c>
      <c r="B48" s="5" t="inlineStr">
        <is>
          <t>Lumiere Skincare</t>
        </is>
      </c>
      <c r="C48" s="5" t="inlineStr">
        <is>
          <t>Beauty / Cosmetics</t>
        </is>
      </c>
      <c r="D48" s="5" t="inlineStr">
        <is>
          <t>B2C</t>
        </is>
      </c>
      <c r="E48" s="5" t="inlineStr">
        <is>
          <t>Instagram</t>
        </is>
      </c>
      <c r="F48" s="5" t="inlineStr">
        <is>
          <t>lumiereskincare.example.com</t>
        </is>
      </c>
      <c r="G48" s="8" t="n">
        <v>4310</v>
      </c>
      <c r="H48" s="8" t="n">
        <v>15839</v>
      </c>
      <c r="I48" s="8" t="n">
        <v>333</v>
      </c>
      <c r="J48" s="9">
        <f>I48/H48</f>
        <v/>
      </c>
      <c r="K48" s="8" t="n">
        <v>325</v>
      </c>
      <c r="L48" s="8" t="n">
        <v>9</v>
      </c>
      <c r="M48" s="5" t="inlineStr">
        <is>
          <t>N/A</t>
        </is>
      </c>
      <c r="N48" s="5" t="inlineStr">
        <is>
          <t>N/A</t>
        </is>
      </c>
      <c r="O48" s="8" t="inlineStr">
        <is>
          <t>N/A</t>
        </is>
      </c>
      <c r="P48" s="5" t="n">
        <v>9</v>
      </c>
      <c r="Q48" s="8">
        <f>IFERROR(G48/L48,0)</f>
        <v/>
      </c>
      <c r="R48" s="8" t="n">
        <v>12539</v>
      </c>
      <c r="S48" s="10">
        <f>IFERROR(R48/G48,0)</f>
        <v/>
      </c>
    </row>
    <row r="49">
      <c r="A49" s="7" t="n">
        <v>46159</v>
      </c>
      <c r="B49" s="5" t="inlineStr">
        <is>
          <t>Lumiere Skincare</t>
        </is>
      </c>
      <c r="C49" s="5" t="inlineStr">
        <is>
          <t>Beauty / Cosmetics</t>
        </is>
      </c>
      <c r="D49" s="5" t="inlineStr">
        <is>
          <t>B2C</t>
        </is>
      </c>
      <c r="E49" s="5" t="inlineStr">
        <is>
          <t>Instagram</t>
        </is>
      </c>
      <c r="F49" s="5" t="inlineStr">
        <is>
          <t>lumiereskincare.example.com</t>
        </is>
      </c>
      <c r="G49" s="8" t="n">
        <v>4017</v>
      </c>
      <c r="H49" s="8" t="n">
        <v>10690</v>
      </c>
      <c r="I49" s="8" t="n">
        <v>224</v>
      </c>
      <c r="J49" s="9">
        <f>I49/H49</f>
        <v/>
      </c>
      <c r="K49" s="8" t="n">
        <v>193</v>
      </c>
      <c r="L49" s="8" t="n">
        <v>6</v>
      </c>
      <c r="M49" s="5" t="inlineStr">
        <is>
          <t>N/A</t>
        </is>
      </c>
      <c r="N49" s="5" t="inlineStr">
        <is>
          <t>N/A</t>
        </is>
      </c>
      <c r="O49" s="8" t="inlineStr">
        <is>
          <t>N/A</t>
        </is>
      </c>
      <c r="P49" s="5" t="n">
        <v>6</v>
      </c>
      <c r="Q49" s="8">
        <f>IFERROR(G49/L49,0)</f>
        <v/>
      </c>
      <c r="R49" s="8" t="n">
        <v>8463</v>
      </c>
      <c r="S49" s="10">
        <f>IFERROR(R49/G49,0)</f>
        <v/>
      </c>
    </row>
    <row r="50">
      <c r="A50" s="7" t="n">
        <v>46160</v>
      </c>
      <c r="B50" s="5" t="inlineStr">
        <is>
          <t>Lumiere Skincare</t>
        </is>
      </c>
      <c r="C50" s="5" t="inlineStr">
        <is>
          <t>Beauty / Cosmetics</t>
        </is>
      </c>
      <c r="D50" s="5" t="inlineStr">
        <is>
          <t>B2C</t>
        </is>
      </c>
      <c r="E50" s="5" t="inlineStr">
        <is>
          <t>Instagram</t>
        </is>
      </c>
      <c r="F50" s="5" t="inlineStr">
        <is>
          <t>lumiereskincare.example.com</t>
        </is>
      </c>
      <c r="G50" s="8" t="n">
        <v>4207</v>
      </c>
      <c r="H50" s="8" t="n">
        <v>14035</v>
      </c>
      <c r="I50" s="8" t="n">
        <v>295</v>
      </c>
      <c r="J50" s="9">
        <f>I50/H50</f>
        <v/>
      </c>
      <c r="K50" s="8" t="n">
        <v>275</v>
      </c>
      <c r="L50" s="8" t="n">
        <v>8</v>
      </c>
      <c r="M50" s="5" t="inlineStr">
        <is>
          <t>N/A</t>
        </is>
      </c>
      <c r="N50" s="5" t="inlineStr">
        <is>
          <t>N/A</t>
        </is>
      </c>
      <c r="O50" s="8" t="inlineStr">
        <is>
          <t>N/A</t>
        </is>
      </c>
      <c r="P50" s="5" t="n">
        <v>8</v>
      </c>
      <c r="Q50" s="8">
        <f>IFERROR(G50/L50,0)</f>
        <v/>
      </c>
      <c r="R50" s="8" t="n">
        <v>11112</v>
      </c>
      <c r="S50" s="10">
        <f>IFERROR(R50/G50,0)</f>
        <v/>
      </c>
    </row>
    <row r="51">
      <c r="A51" s="7" t="n">
        <v>46161</v>
      </c>
      <c r="B51" s="5" t="inlineStr">
        <is>
          <t>Lumiere Skincare</t>
        </is>
      </c>
      <c r="C51" s="5" t="inlineStr">
        <is>
          <t>Beauty / Cosmetics</t>
        </is>
      </c>
      <c r="D51" s="5" t="inlineStr">
        <is>
          <t>B2C</t>
        </is>
      </c>
      <c r="E51" s="5" t="inlineStr">
        <is>
          <t>Instagram</t>
        </is>
      </c>
      <c r="F51" s="5" t="inlineStr">
        <is>
          <t>lumiereskincare.example.com</t>
        </is>
      </c>
      <c r="G51" s="8" t="n">
        <v>4024</v>
      </c>
      <c r="H51" s="8" t="n">
        <v>17503</v>
      </c>
      <c r="I51" s="8" t="n">
        <v>368</v>
      </c>
      <c r="J51" s="9">
        <f>I51/H51</f>
        <v/>
      </c>
      <c r="K51" s="8" t="n">
        <v>354</v>
      </c>
      <c r="L51" s="8" t="n">
        <v>10</v>
      </c>
      <c r="M51" s="5" t="inlineStr">
        <is>
          <t>N/A</t>
        </is>
      </c>
      <c r="N51" s="5" t="inlineStr">
        <is>
          <t>N/A</t>
        </is>
      </c>
      <c r="O51" s="8" t="inlineStr">
        <is>
          <t>N/A</t>
        </is>
      </c>
      <c r="P51" s="5" t="n">
        <v>10</v>
      </c>
      <c r="Q51" s="8">
        <f>IFERROR(G51/L51,0)</f>
        <v/>
      </c>
      <c r="R51" s="8" t="n">
        <v>13857</v>
      </c>
      <c r="S51" s="10">
        <f>IFERROR(R51/G51,0)</f>
        <v/>
      </c>
    </row>
    <row r="52">
      <c r="A52" s="7" t="n">
        <v>46162</v>
      </c>
      <c r="B52" s="5" t="inlineStr">
        <is>
          <t>Lumiere Skincare</t>
        </is>
      </c>
      <c r="C52" s="5" t="inlineStr">
        <is>
          <t>Beauty / Cosmetics</t>
        </is>
      </c>
      <c r="D52" s="5" t="inlineStr">
        <is>
          <t>B2C</t>
        </is>
      </c>
      <c r="E52" s="5" t="inlineStr">
        <is>
          <t>Instagram</t>
        </is>
      </c>
      <c r="F52" s="5" t="inlineStr">
        <is>
          <t>lumiereskincare.example.com</t>
        </is>
      </c>
      <c r="G52" s="8" t="n">
        <v>4676</v>
      </c>
      <c r="H52" s="8" t="n">
        <v>11813</v>
      </c>
      <c r="I52" s="8" t="n">
        <v>248</v>
      </c>
      <c r="J52" s="9">
        <f>I52/H52</f>
        <v/>
      </c>
      <c r="K52" s="8" t="n">
        <v>231</v>
      </c>
      <c r="L52" s="8" t="n">
        <v>6</v>
      </c>
      <c r="M52" s="5" t="inlineStr">
        <is>
          <t>N/A</t>
        </is>
      </c>
      <c r="N52" s="5" t="inlineStr">
        <is>
          <t>N/A</t>
        </is>
      </c>
      <c r="O52" s="8" t="inlineStr">
        <is>
          <t>N/A</t>
        </is>
      </c>
      <c r="P52" s="5" t="n">
        <v>6</v>
      </c>
      <c r="Q52" s="8">
        <f>IFERROR(G52/L52,0)</f>
        <v/>
      </c>
      <c r="R52" s="8" t="n">
        <v>9352</v>
      </c>
      <c r="S52" s="10">
        <f>IFERROR(R52/G52,0)</f>
        <v/>
      </c>
    </row>
    <row r="53">
      <c r="A53" s="7" t="n">
        <v>46163</v>
      </c>
      <c r="B53" s="5" t="inlineStr">
        <is>
          <t>Lumiere Skincare</t>
        </is>
      </c>
      <c r="C53" s="5" t="inlineStr">
        <is>
          <t>Beauty / Cosmetics</t>
        </is>
      </c>
      <c r="D53" s="5" t="inlineStr">
        <is>
          <t>B2C</t>
        </is>
      </c>
      <c r="E53" s="5" t="inlineStr">
        <is>
          <t>Instagram</t>
        </is>
      </c>
      <c r="F53" s="5" t="inlineStr">
        <is>
          <t>lumiereskincare.example.com</t>
        </is>
      </c>
      <c r="G53" s="8" t="n">
        <v>4307</v>
      </c>
      <c r="H53" s="8" t="n">
        <v>15640</v>
      </c>
      <c r="I53" s="8" t="n">
        <v>328</v>
      </c>
      <c r="J53" s="9">
        <f>I53/H53</f>
        <v/>
      </c>
      <c r="K53" s="8" t="n">
        <v>297</v>
      </c>
      <c r="L53" s="8" t="n">
        <v>9</v>
      </c>
      <c r="M53" s="5" t="inlineStr">
        <is>
          <t>N/A</t>
        </is>
      </c>
      <c r="N53" s="5" t="inlineStr">
        <is>
          <t>N/A</t>
        </is>
      </c>
      <c r="O53" s="8" t="inlineStr">
        <is>
          <t>N/A</t>
        </is>
      </c>
      <c r="P53" s="5" t="n">
        <v>9</v>
      </c>
      <c r="Q53" s="8">
        <f>IFERROR(G53/L53,0)</f>
        <v/>
      </c>
      <c r="R53" s="8" t="n">
        <v>12382</v>
      </c>
      <c r="S53" s="10">
        <f>IFERROR(R53/G53,0)</f>
        <v/>
      </c>
    </row>
    <row r="54">
      <c r="A54" s="7" t="n">
        <v>46164</v>
      </c>
      <c r="B54" s="5" t="inlineStr">
        <is>
          <t>Lumiere Skincare</t>
        </is>
      </c>
      <c r="C54" s="5" t="inlineStr">
        <is>
          <t>Beauty / Cosmetics</t>
        </is>
      </c>
      <c r="D54" s="5" t="inlineStr">
        <is>
          <t>B2C</t>
        </is>
      </c>
      <c r="E54" s="5" t="inlineStr">
        <is>
          <t>Instagram</t>
        </is>
      </c>
      <c r="F54" s="5" t="inlineStr">
        <is>
          <t>lumiereskincare.example.com</t>
        </is>
      </c>
      <c r="G54" s="8" t="n">
        <v>4136</v>
      </c>
      <c r="H54" s="8" t="n">
        <v>13453</v>
      </c>
      <c r="I54" s="8" t="n">
        <v>283</v>
      </c>
      <c r="J54" s="9">
        <f>I54/H54</f>
        <v/>
      </c>
      <c r="K54" s="8" t="n">
        <v>256</v>
      </c>
      <c r="L54" s="8" t="n">
        <v>7</v>
      </c>
      <c r="M54" s="5" t="inlineStr">
        <is>
          <t>N/A</t>
        </is>
      </c>
      <c r="N54" s="5" t="inlineStr">
        <is>
          <t>N/A</t>
        </is>
      </c>
      <c r="O54" s="8" t="inlineStr">
        <is>
          <t>N/A</t>
        </is>
      </c>
      <c r="P54" s="5" t="n">
        <v>7</v>
      </c>
      <c r="Q54" s="8">
        <f>IFERROR(G54/L54,0)</f>
        <v/>
      </c>
      <c r="R54" s="8" t="n">
        <v>10651</v>
      </c>
      <c r="S54" s="10">
        <f>IFERROR(R54/G54,0)</f>
        <v/>
      </c>
    </row>
    <row r="55">
      <c r="A55" s="7" t="n">
        <v>46165</v>
      </c>
      <c r="B55" s="5" t="inlineStr">
        <is>
          <t>Lumiere Skincare</t>
        </is>
      </c>
      <c r="C55" s="5" t="inlineStr">
        <is>
          <t>Beauty / Cosmetics</t>
        </is>
      </c>
      <c r="D55" s="5" t="inlineStr">
        <is>
          <t>B2C</t>
        </is>
      </c>
      <c r="E55" s="5" t="inlineStr">
        <is>
          <t>Instagram</t>
        </is>
      </c>
      <c r="F55" s="5" t="inlineStr">
        <is>
          <t>lumiereskincare.example.com</t>
        </is>
      </c>
      <c r="G55" s="8" t="n">
        <v>4551</v>
      </c>
      <c r="H55" s="8" t="n">
        <v>18910</v>
      </c>
      <c r="I55" s="8" t="n">
        <v>397</v>
      </c>
      <c r="J55" s="9">
        <f>I55/H55</f>
        <v/>
      </c>
      <c r="K55" s="8" t="n">
        <v>339</v>
      </c>
      <c r="L55" s="8" t="n">
        <v>10</v>
      </c>
      <c r="M55" s="5" t="inlineStr">
        <is>
          <t>N/A</t>
        </is>
      </c>
      <c r="N55" s="5" t="inlineStr">
        <is>
          <t>N/A</t>
        </is>
      </c>
      <c r="O55" s="8" t="inlineStr">
        <is>
          <t>N/A</t>
        </is>
      </c>
      <c r="P55" s="5" t="n">
        <v>10</v>
      </c>
      <c r="Q55" s="8">
        <f>IFERROR(G55/L55,0)</f>
        <v/>
      </c>
      <c r="R55" s="8" t="n">
        <v>14971</v>
      </c>
      <c r="S55" s="10">
        <f>IFERROR(R55/G55,0)</f>
        <v/>
      </c>
    </row>
    <row r="56">
      <c r="A56" s="7" t="n">
        <v>46166</v>
      </c>
      <c r="B56" s="5" t="inlineStr">
        <is>
          <t>Lumiere Skincare</t>
        </is>
      </c>
      <c r="C56" s="5" t="inlineStr">
        <is>
          <t>Beauty / Cosmetics</t>
        </is>
      </c>
      <c r="D56" s="5" t="inlineStr">
        <is>
          <t>B2C</t>
        </is>
      </c>
      <c r="E56" s="5" t="inlineStr">
        <is>
          <t>Instagram</t>
        </is>
      </c>
      <c r="F56" s="5" t="inlineStr">
        <is>
          <t>lumiereskincare.example.com</t>
        </is>
      </c>
      <c r="G56" s="8" t="n">
        <v>3562</v>
      </c>
      <c r="H56" s="8" t="n">
        <v>12403</v>
      </c>
      <c r="I56" s="8" t="n">
        <v>260</v>
      </c>
      <c r="J56" s="9">
        <f>I56/H56</f>
        <v/>
      </c>
      <c r="K56" s="8" t="n">
        <v>240</v>
      </c>
      <c r="L56" s="8" t="n">
        <v>7</v>
      </c>
      <c r="M56" s="5" t="inlineStr">
        <is>
          <t>N/A</t>
        </is>
      </c>
      <c r="N56" s="5" t="inlineStr">
        <is>
          <t>N/A</t>
        </is>
      </c>
      <c r="O56" s="8" t="inlineStr">
        <is>
          <t>N/A</t>
        </is>
      </c>
      <c r="P56" s="5" t="n">
        <v>7</v>
      </c>
      <c r="Q56" s="8">
        <f>IFERROR(G56/L56,0)</f>
        <v/>
      </c>
      <c r="R56" s="8" t="n">
        <v>9820</v>
      </c>
      <c r="S56" s="10">
        <f>IFERROR(R56/G56,0)</f>
        <v/>
      </c>
    </row>
    <row r="57">
      <c r="A57" s="7" t="n">
        <v>46167</v>
      </c>
      <c r="B57" s="5" t="inlineStr">
        <is>
          <t>Lumiere Skincare</t>
        </is>
      </c>
      <c r="C57" s="5" t="inlineStr">
        <is>
          <t>Beauty / Cosmetics</t>
        </is>
      </c>
      <c r="D57" s="5" t="inlineStr">
        <is>
          <t>B2C</t>
        </is>
      </c>
      <c r="E57" s="5" t="inlineStr">
        <is>
          <t>Instagram</t>
        </is>
      </c>
      <c r="F57" s="5" t="inlineStr">
        <is>
          <t>lumiereskincare.example.com</t>
        </is>
      </c>
      <c r="G57" s="8" t="n">
        <v>3608</v>
      </c>
      <c r="H57" s="8" t="n">
        <v>14334</v>
      </c>
      <c r="I57" s="8" t="n">
        <v>301</v>
      </c>
      <c r="J57" s="9">
        <f>I57/H57</f>
        <v/>
      </c>
      <c r="K57" s="8" t="n">
        <v>295</v>
      </c>
      <c r="L57" s="8" t="n">
        <v>8</v>
      </c>
      <c r="M57" s="5" t="inlineStr">
        <is>
          <t>N/A</t>
        </is>
      </c>
      <c r="N57" s="5" t="inlineStr">
        <is>
          <t>N/A</t>
        </is>
      </c>
      <c r="O57" s="8" t="inlineStr">
        <is>
          <t>N/A</t>
        </is>
      </c>
      <c r="P57" s="5" t="n">
        <v>8</v>
      </c>
      <c r="Q57" s="8">
        <f>IFERROR(G57/L57,0)</f>
        <v/>
      </c>
      <c r="R57" s="8" t="n">
        <v>11348</v>
      </c>
      <c r="S57" s="10">
        <f>IFERROR(R57/G57,0)</f>
        <v/>
      </c>
    </row>
    <row r="58">
      <c r="A58" s="7" t="n">
        <v>46168</v>
      </c>
      <c r="B58" s="5" t="inlineStr">
        <is>
          <t>Lumiere Skincare</t>
        </is>
      </c>
      <c r="C58" s="5" t="inlineStr">
        <is>
          <t>Beauty / Cosmetics</t>
        </is>
      </c>
      <c r="D58" s="5" t="inlineStr">
        <is>
          <t>B2C</t>
        </is>
      </c>
      <c r="E58" s="5" t="inlineStr">
        <is>
          <t>Instagram</t>
        </is>
      </c>
      <c r="F58" s="5" t="inlineStr">
        <is>
          <t>lumiereskincare.example.com</t>
        </is>
      </c>
      <c r="G58" s="8" t="n">
        <v>4434</v>
      </c>
      <c r="H58" s="8" t="n">
        <v>17942</v>
      </c>
      <c r="I58" s="8" t="n">
        <v>377</v>
      </c>
      <c r="J58" s="9">
        <f>I58/H58</f>
        <v/>
      </c>
      <c r="K58" s="8" t="n">
        <v>367</v>
      </c>
      <c r="L58" s="8" t="n">
        <v>10</v>
      </c>
      <c r="M58" s="5" t="inlineStr">
        <is>
          <t>N/A</t>
        </is>
      </c>
      <c r="N58" s="5" t="inlineStr">
        <is>
          <t>N/A</t>
        </is>
      </c>
      <c r="O58" s="8" t="inlineStr">
        <is>
          <t>N/A</t>
        </is>
      </c>
      <c r="P58" s="5" t="n">
        <v>10</v>
      </c>
      <c r="Q58" s="8">
        <f>IFERROR(G58/L58,0)</f>
        <v/>
      </c>
      <c r="R58" s="8" t="n">
        <v>14205</v>
      </c>
      <c r="S58" s="10">
        <f>IFERROR(R58/G58,0)</f>
        <v/>
      </c>
    </row>
    <row r="59">
      <c r="A59" s="7" t="n">
        <v>46169</v>
      </c>
      <c r="B59" s="5" t="inlineStr">
        <is>
          <t>Lumiere Skincare</t>
        </is>
      </c>
      <c r="C59" s="5" t="inlineStr">
        <is>
          <t>Beauty / Cosmetics</t>
        </is>
      </c>
      <c r="D59" s="5" t="inlineStr">
        <is>
          <t>B2C</t>
        </is>
      </c>
      <c r="E59" s="5" t="inlineStr">
        <is>
          <t>Instagram</t>
        </is>
      </c>
      <c r="F59" s="5" t="inlineStr">
        <is>
          <t>lumiereskincare.example.com</t>
        </is>
      </c>
      <c r="G59" s="8" t="n">
        <v>4218</v>
      </c>
      <c r="H59" s="8" t="n">
        <v>19504</v>
      </c>
      <c r="I59" s="8" t="n">
        <v>410</v>
      </c>
      <c r="J59" s="9">
        <f>I59/H59</f>
        <v/>
      </c>
      <c r="K59" s="8" t="n">
        <v>350</v>
      </c>
      <c r="L59" s="8" t="n">
        <v>11</v>
      </c>
      <c r="M59" s="5" t="inlineStr">
        <is>
          <t>N/A</t>
        </is>
      </c>
      <c r="N59" s="5" t="inlineStr">
        <is>
          <t>N/A</t>
        </is>
      </c>
      <c r="O59" s="8" t="inlineStr">
        <is>
          <t>N/A</t>
        </is>
      </c>
      <c r="P59" s="5" t="n">
        <v>11</v>
      </c>
      <c r="Q59" s="8">
        <f>IFERROR(G59/L59,0)</f>
        <v/>
      </c>
      <c r="R59" s="8" t="n">
        <v>15441</v>
      </c>
      <c r="S59" s="10">
        <f>IFERROR(R59/G59,0)</f>
        <v/>
      </c>
    </row>
    <row r="60">
      <c r="A60" s="7" t="n">
        <v>46170</v>
      </c>
      <c r="B60" s="5" t="inlineStr">
        <is>
          <t>Lumiere Skincare</t>
        </is>
      </c>
      <c r="C60" s="5" t="inlineStr">
        <is>
          <t>Beauty / Cosmetics</t>
        </is>
      </c>
      <c r="D60" s="5" t="inlineStr">
        <is>
          <t>B2C</t>
        </is>
      </c>
      <c r="E60" s="5" t="inlineStr">
        <is>
          <t>Instagram</t>
        </is>
      </c>
      <c r="F60" s="5" t="inlineStr">
        <is>
          <t>lumiereskincare.example.com</t>
        </is>
      </c>
      <c r="G60" s="8" t="n">
        <v>4274</v>
      </c>
      <c r="H60" s="8" t="n">
        <v>15800</v>
      </c>
      <c r="I60" s="8" t="n">
        <v>332</v>
      </c>
      <c r="J60" s="9">
        <f>I60/H60</f>
        <v/>
      </c>
      <c r="K60" s="8" t="n">
        <v>312</v>
      </c>
      <c r="L60" s="8" t="n">
        <v>9</v>
      </c>
      <c r="M60" s="5" t="inlineStr">
        <is>
          <t>N/A</t>
        </is>
      </c>
      <c r="N60" s="5" t="inlineStr">
        <is>
          <t>N/A</t>
        </is>
      </c>
      <c r="O60" s="8" t="inlineStr">
        <is>
          <t>N/A</t>
        </is>
      </c>
      <c r="P60" s="5" t="n">
        <v>9</v>
      </c>
      <c r="Q60" s="8">
        <f>IFERROR(G60/L60,0)</f>
        <v/>
      </c>
      <c r="R60" s="8" t="n">
        <v>12509</v>
      </c>
      <c r="S60" s="10">
        <f>IFERROR(R60/G60,0)</f>
        <v/>
      </c>
    </row>
    <row r="61">
      <c r="A61" s="7" t="n">
        <v>46171</v>
      </c>
      <c r="B61" s="5" t="inlineStr">
        <is>
          <t>Lumiere Skincare</t>
        </is>
      </c>
      <c r="C61" s="5" t="inlineStr">
        <is>
          <t>Beauty / Cosmetics</t>
        </is>
      </c>
      <c r="D61" s="5" t="inlineStr">
        <is>
          <t>B2C</t>
        </is>
      </c>
      <c r="E61" s="5" t="inlineStr">
        <is>
          <t>Instagram</t>
        </is>
      </c>
      <c r="F61" s="5" t="inlineStr">
        <is>
          <t>lumiereskincare.example.com</t>
        </is>
      </c>
      <c r="G61" s="8" t="n">
        <v>3810</v>
      </c>
      <c r="H61" s="8" t="n">
        <v>15089</v>
      </c>
      <c r="I61" s="8" t="n">
        <v>317</v>
      </c>
      <c r="J61" s="9">
        <f>I61/H61</f>
        <v/>
      </c>
      <c r="K61" s="8" t="n">
        <v>282</v>
      </c>
      <c r="L61" s="8" t="n">
        <v>8</v>
      </c>
      <c r="M61" s="5" t="inlineStr">
        <is>
          <t>N/A</t>
        </is>
      </c>
      <c r="N61" s="5" t="inlineStr">
        <is>
          <t>N/A</t>
        </is>
      </c>
      <c r="O61" s="8" t="inlineStr">
        <is>
          <t>N/A</t>
        </is>
      </c>
      <c r="P61" s="5" t="n">
        <v>8</v>
      </c>
      <c r="Q61" s="8">
        <f>IFERROR(G61/L61,0)</f>
        <v/>
      </c>
      <c r="R61" s="8" t="n">
        <v>11946</v>
      </c>
      <c r="S61" s="10">
        <f>IFERROR(R61/G61,0)</f>
        <v/>
      </c>
    </row>
    <row r="62">
      <c r="A62" s="7" t="n">
        <v>46172</v>
      </c>
      <c r="B62" s="5" t="inlineStr">
        <is>
          <t>Lumiere Skincare</t>
        </is>
      </c>
      <c r="C62" s="5" t="inlineStr">
        <is>
          <t>Beauty / Cosmetics</t>
        </is>
      </c>
      <c r="D62" s="5" t="inlineStr">
        <is>
          <t>B2C</t>
        </is>
      </c>
      <c r="E62" s="5" t="inlineStr">
        <is>
          <t>Instagram</t>
        </is>
      </c>
      <c r="F62" s="5" t="inlineStr">
        <is>
          <t>lumiereskincare.example.com</t>
        </is>
      </c>
      <c r="G62" s="8" t="n">
        <v>4193</v>
      </c>
      <c r="H62" s="8" t="n">
        <v>13058</v>
      </c>
      <c r="I62" s="8" t="n">
        <v>274</v>
      </c>
      <c r="J62" s="9">
        <f>I62/H62</f>
        <v/>
      </c>
      <c r="K62" s="8" t="n">
        <v>265</v>
      </c>
      <c r="L62" s="8" t="n">
        <v>7</v>
      </c>
      <c r="M62" s="5" t="inlineStr">
        <is>
          <t>N/A</t>
        </is>
      </c>
      <c r="N62" s="5" t="inlineStr">
        <is>
          <t>N/A</t>
        </is>
      </c>
      <c r="O62" s="8" t="inlineStr">
        <is>
          <t>N/A</t>
        </is>
      </c>
      <c r="P62" s="5" t="n">
        <v>7</v>
      </c>
      <c r="Q62" s="8">
        <f>IFERROR(G62/L62,0)</f>
        <v/>
      </c>
      <c r="R62" s="8" t="n">
        <v>10338</v>
      </c>
      <c r="S62" s="10">
        <f>IFERROR(R62/G62,0)</f>
        <v/>
      </c>
    </row>
    <row r="63">
      <c r="A63" s="7" t="n">
        <v>46173</v>
      </c>
      <c r="B63" s="5" t="inlineStr">
        <is>
          <t>Lumiere Skincare</t>
        </is>
      </c>
      <c r="C63" s="5" t="inlineStr">
        <is>
          <t>Beauty / Cosmetics</t>
        </is>
      </c>
      <c r="D63" s="5" t="inlineStr">
        <is>
          <t>B2C</t>
        </is>
      </c>
      <c r="E63" s="5" t="inlineStr">
        <is>
          <t>Instagram</t>
        </is>
      </c>
      <c r="F63" s="5" t="inlineStr">
        <is>
          <t>lumiereskincare.example.com</t>
        </is>
      </c>
      <c r="G63" s="8" t="n">
        <v>4789</v>
      </c>
      <c r="H63" s="8" t="n">
        <v>20739</v>
      </c>
      <c r="I63" s="8" t="n">
        <v>436</v>
      </c>
      <c r="J63" s="9">
        <f>I63/H63</f>
        <v/>
      </c>
      <c r="K63" s="8" t="n">
        <v>373</v>
      </c>
      <c r="L63" s="8" t="n">
        <v>11</v>
      </c>
      <c r="M63" s="5" t="inlineStr">
        <is>
          <t>N/A</t>
        </is>
      </c>
      <c r="N63" s="5" t="inlineStr">
        <is>
          <t>N/A</t>
        </is>
      </c>
      <c r="O63" s="8" t="inlineStr">
        <is>
          <t>N/A</t>
        </is>
      </c>
      <c r="P63" s="5" t="n">
        <v>11</v>
      </c>
      <c r="Q63" s="8">
        <f>IFERROR(G63/L63,0)</f>
        <v/>
      </c>
      <c r="R63" s="8" t="n">
        <v>16419</v>
      </c>
      <c r="S63" s="10">
        <f>IFERROR(R63/G63,0)</f>
        <v/>
      </c>
    </row>
    <row r="64">
      <c r="A64" s="7" t="n">
        <v>46143</v>
      </c>
      <c r="B64" s="5" t="inlineStr">
        <is>
          <t>Lumiere Skincare</t>
        </is>
      </c>
      <c r="C64" s="5" t="inlineStr">
        <is>
          <t>Beauty / Cosmetics</t>
        </is>
      </c>
      <c r="D64" s="5" t="inlineStr">
        <is>
          <t>B2C</t>
        </is>
      </c>
      <c r="E64" s="5" t="inlineStr">
        <is>
          <t>Facebook</t>
        </is>
      </c>
      <c r="F64" s="5" t="inlineStr">
        <is>
          <t>lumiereskincare.example.com</t>
        </is>
      </c>
      <c r="G64" s="8" t="n">
        <v>5301</v>
      </c>
      <c r="H64" s="8" t="n">
        <v>25117</v>
      </c>
      <c r="I64" s="8" t="n">
        <v>402</v>
      </c>
      <c r="J64" s="9">
        <f>I64/H64</f>
        <v/>
      </c>
      <c r="K64" s="8" t="n">
        <v>391</v>
      </c>
      <c r="L64" s="8" t="n">
        <v>8</v>
      </c>
      <c r="M64" s="5" t="inlineStr">
        <is>
          <t>N/A</t>
        </is>
      </c>
      <c r="N64" s="5" t="inlineStr">
        <is>
          <t>N/A</t>
        </is>
      </c>
      <c r="O64" s="8" t="inlineStr">
        <is>
          <t>N/A</t>
        </is>
      </c>
      <c r="P64" s="5" t="n">
        <v>8</v>
      </c>
      <c r="Q64" s="8">
        <f>IFERROR(G64/L64,0)</f>
        <v/>
      </c>
      <c r="R64" s="8" t="n">
        <v>12237</v>
      </c>
      <c r="S64" s="10">
        <f>IFERROR(R64/G64,0)</f>
        <v/>
      </c>
    </row>
    <row r="65">
      <c r="A65" s="7" t="n">
        <v>46144</v>
      </c>
      <c r="B65" s="5" t="inlineStr">
        <is>
          <t>Lumiere Skincare</t>
        </is>
      </c>
      <c r="C65" s="5" t="inlineStr">
        <is>
          <t>Beauty / Cosmetics</t>
        </is>
      </c>
      <c r="D65" s="5" t="inlineStr">
        <is>
          <t>B2C</t>
        </is>
      </c>
      <c r="E65" s="5" t="inlineStr">
        <is>
          <t>Facebook</t>
        </is>
      </c>
      <c r="F65" s="5" t="inlineStr">
        <is>
          <t>lumiereskincare.example.com</t>
        </is>
      </c>
      <c r="G65" s="8" t="n">
        <v>4639</v>
      </c>
      <c r="H65" s="8" t="n">
        <v>22400</v>
      </c>
      <c r="I65" s="8" t="n">
        <v>358</v>
      </c>
      <c r="J65" s="9">
        <f>I65/H65</f>
        <v/>
      </c>
      <c r="K65" s="8" t="n">
        <v>321</v>
      </c>
      <c r="L65" s="8" t="n">
        <v>8</v>
      </c>
      <c r="M65" s="5" t="inlineStr">
        <is>
          <t>N/A</t>
        </is>
      </c>
      <c r="N65" s="5" t="inlineStr">
        <is>
          <t>N/A</t>
        </is>
      </c>
      <c r="O65" s="8" t="inlineStr">
        <is>
          <t>N/A</t>
        </is>
      </c>
      <c r="P65" s="5" t="n">
        <v>8</v>
      </c>
      <c r="Q65" s="8">
        <f>IFERROR(G65/L65,0)</f>
        <v/>
      </c>
      <c r="R65" s="8" t="n">
        <v>10913</v>
      </c>
      <c r="S65" s="10">
        <f>IFERROR(R65/G65,0)</f>
        <v/>
      </c>
    </row>
    <row r="66">
      <c r="A66" s="7" t="n">
        <v>46145</v>
      </c>
      <c r="B66" s="5" t="inlineStr">
        <is>
          <t>Lumiere Skincare</t>
        </is>
      </c>
      <c r="C66" s="5" t="inlineStr">
        <is>
          <t>Beauty / Cosmetics</t>
        </is>
      </c>
      <c r="D66" s="5" t="inlineStr">
        <is>
          <t>B2C</t>
        </is>
      </c>
      <c r="E66" s="5" t="inlineStr">
        <is>
          <t>Facebook</t>
        </is>
      </c>
      <c r="F66" s="5" t="inlineStr">
        <is>
          <t>lumiereskincare.example.com</t>
        </is>
      </c>
      <c r="G66" s="8" t="n">
        <v>5226</v>
      </c>
      <c r="H66" s="8" t="n">
        <v>20331</v>
      </c>
      <c r="I66" s="8" t="n">
        <v>325</v>
      </c>
      <c r="J66" s="9">
        <f>I66/H66</f>
        <v/>
      </c>
      <c r="K66" s="8" t="n">
        <v>280</v>
      </c>
      <c r="L66" s="8" t="n">
        <v>7</v>
      </c>
      <c r="M66" s="5" t="inlineStr">
        <is>
          <t>N/A</t>
        </is>
      </c>
      <c r="N66" s="5" t="inlineStr">
        <is>
          <t>N/A</t>
        </is>
      </c>
      <c r="O66" s="8" t="inlineStr">
        <is>
          <t>N/A</t>
        </is>
      </c>
      <c r="P66" s="5" t="n">
        <v>7</v>
      </c>
      <c r="Q66" s="8">
        <f>IFERROR(G66/L66,0)</f>
        <v/>
      </c>
      <c r="R66" s="8" t="n">
        <v>9905</v>
      </c>
      <c r="S66" s="10">
        <f>IFERROR(R66/G66,0)</f>
        <v/>
      </c>
    </row>
    <row r="67">
      <c r="A67" s="7" t="n">
        <v>46146</v>
      </c>
      <c r="B67" s="5" t="inlineStr">
        <is>
          <t>Lumiere Skincare</t>
        </is>
      </c>
      <c r="C67" s="5" t="inlineStr">
        <is>
          <t>Beauty / Cosmetics</t>
        </is>
      </c>
      <c r="D67" s="5" t="inlineStr">
        <is>
          <t>B2C</t>
        </is>
      </c>
      <c r="E67" s="5" t="inlineStr">
        <is>
          <t>Facebook</t>
        </is>
      </c>
      <c r="F67" s="5" t="inlineStr">
        <is>
          <t>lumiereskincare.example.com</t>
        </is>
      </c>
      <c r="G67" s="8" t="n">
        <v>5783</v>
      </c>
      <c r="H67" s="8" t="n">
        <v>28809</v>
      </c>
      <c r="I67" s="8" t="n">
        <v>461</v>
      </c>
      <c r="J67" s="9">
        <f>I67/H67</f>
        <v/>
      </c>
      <c r="K67" s="8" t="n">
        <v>405</v>
      </c>
      <c r="L67" s="8" t="n">
        <v>10</v>
      </c>
      <c r="M67" s="5" t="inlineStr">
        <is>
          <t>N/A</t>
        </is>
      </c>
      <c r="N67" s="5" t="inlineStr">
        <is>
          <t>N/A</t>
        </is>
      </c>
      <c r="O67" s="8" t="inlineStr">
        <is>
          <t>N/A</t>
        </is>
      </c>
      <c r="P67" s="5" t="n">
        <v>10</v>
      </c>
      <c r="Q67" s="8">
        <f>IFERROR(G67/L67,0)</f>
        <v/>
      </c>
      <c r="R67" s="8" t="n">
        <v>14036</v>
      </c>
      <c r="S67" s="10">
        <f>IFERROR(R67/G67,0)</f>
        <v/>
      </c>
    </row>
    <row r="68">
      <c r="A68" s="7" t="n">
        <v>46147</v>
      </c>
      <c r="B68" s="5" t="inlineStr">
        <is>
          <t>Lumiere Skincare</t>
        </is>
      </c>
      <c r="C68" s="5" t="inlineStr">
        <is>
          <t>Beauty / Cosmetics</t>
        </is>
      </c>
      <c r="D68" s="5" t="inlineStr">
        <is>
          <t>B2C</t>
        </is>
      </c>
      <c r="E68" s="5" t="inlineStr">
        <is>
          <t>Facebook</t>
        </is>
      </c>
      <c r="F68" s="5" t="inlineStr">
        <is>
          <t>lumiereskincare.example.com</t>
        </is>
      </c>
      <c r="G68" s="8" t="n">
        <v>5266</v>
      </c>
      <c r="H68" s="8" t="n">
        <v>29831</v>
      </c>
      <c r="I68" s="8" t="n">
        <v>477</v>
      </c>
      <c r="J68" s="9">
        <f>I68/H68</f>
        <v/>
      </c>
      <c r="K68" s="8" t="n">
        <v>433</v>
      </c>
      <c r="L68" s="8" t="n">
        <v>10</v>
      </c>
      <c r="M68" s="5" t="inlineStr">
        <is>
          <t>N/A</t>
        </is>
      </c>
      <c r="N68" s="5" t="inlineStr">
        <is>
          <t>N/A</t>
        </is>
      </c>
      <c r="O68" s="8" t="inlineStr">
        <is>
          <t>N/A</t>
        </is>
      </c>
      <c r="P68" s="5" t="n">
        <v>10</v>
      </c>
      <c r="Q68" s="8">
        <f>IFERROR(G68/L68,0)</f>
        <v/>
      </c>
      <c r="R68" s="8" t="n">
        <v>14533</v>
      </c>
      <c r="S68" s="10">
        <f>IFERROR(R68/G68,0)</f>
        <v/>
      </c>
    </row>
    <row r="69">
      <c r="A69" s="7" t="n">
        <v>46148</v>
      </c>
      <c r="B69" s="5" t="inlineStr">
        <is>
          <t>Lumiere Skincare</t>
        </is>
      </c>
      <c r="C69" s="5" t="inlineStr">
        <is>
          <t>Beauty / Cosmetics</t>
        </is>
      </c>
      <c r="D69" s="5" t="inlineStr">
        <is>
          <t>B2C</t>
        </is>
      </c>
      <c r="E69" s="5" t="inlineStr">
        <is>
          <t>Facebook</t>
        </is>
      </c>
      <c r="F69" s="5" t="inlineStr">
        <is>
          <t>lumiereskincare.example.com</t>
        </is>
      </c>
      <c r="G69" s="8" t="n">
        <v>4966</v>
      </c>
      <c r="H69" s="8" t="n">
        <v>21272</v>
      </c>
      <c r="I69" s="8" t="n">
        <v>340</v>
      </c>
      <c r="J69" s="9">
        <f>I69/H69</f>
        <v/>
      </c>
      <c r="K69" s="8" t="n">
        <v>331</v>
      </c>
      <c r="L69" s="8" t="n">
        <v>7</v>
      </c>
      <c r="M69" s="5" t="inlineStr">
        <is>
          <t>N/A</t>
        </is>
      </c>
      <c r="N69" s="5" t="inlineStr">
        <is>
          <t>N/A</t>
        </is>
      </c>
      <c r="O69" s="8" t="inlineStr">
        <is>
          <t>N/A</t>
        </is>
      </c>
      <c r="P69" s="5" t="n">
        <v>7</v>
      </c>
      <c r="Q69" s="8">
        <f>IFERROR(G69/L69,0)</f>
        <v/>
      </c>
      <c r="R69" s="8" t="n">
        <v>10364</v>
      </c>
      <c r="S69" s="10">
        <f>IFERROR(R69/G69,0)</f>
        <v/>
      </c>
    </row>
    <row r="70">
      <c r="A70" s="7" t="n">
        <v>46149</v>
      </c>
      <c r="B70" s="5" t="inlineStr">
        <is>
          <t>Lumiere Skincare</t>
        </is>
      </c>
      <c r="C70" s="5" t="inlineStr">
        <is>
          <t>Beauty / Cosmetics</t>
        </is>
      </c>
      <c r="D70" s="5" t="inlineStr">
        <is>
          <t>B2C</t>
        </is>
      </c>
      <c r="E70" s="5" t="inlineStr">
        <is>
          <t>Facebook</t>
        </is>
      </c>
      <c r="F70" s="5" t="inlineStr">
        <is>
          <t>lumiereskincare.example.com</t>
        </is>
      </c>
      <c r="G70" s="8" t="n">
        <v>4919</v>
      </c>
      <c r="H70" s="8" t="n">
        <v>25210</v>
      </c>
      <c r="I70" s="8" t="n">
        <v>403</v>
      </c>
      <c r="J70" s="9">
        <f>I70/H70</f>
        <v/>
      </c>
      <c r="K70" s="8" t="n">
        <v>363</v>
      </c>
      <c r="L70" s="8" t="n">
        <v>8</v>
      </c>
      <c r="M70" s="5" t="inlineStr">
        <is>
          <t>N/A</t>
        </is>
      </c>
      <c r="N70" s="5" t="inlineStr">
        <is>
          <t>N/A</t>
        </is>
      </c>
      <c r="O70" s="8" t="inlineStr">
        <is>
          <t>N/A</t>
        </is>
      </c>
      <c r="P70" s="5" t="n">
        <v>8</v>
      </c>
      <c r="Q70" s="8">
        <f>IFERROR(G70/L70,0)</f>
        <v/>
      </c>
      <c r="R70" s="8" t="n">
        <v>12282</v>
      </c>
      <c r="S70" s="10">
        <f>IFERROR(R70/G70,0)</f>
        <v/>
      </c>
    </row>
    <row r="71">
      <c r="A71" s="7" t="n">
        <v>46150</v>
      </c>
      <c r="B71" s="5" t="inlineStr">
        <is>
          <t>Lumiere Skincare</t>
        </is>
      </c>
      <c r="C71" s="5" t="inlineStr">
        <is>
          <t>Beauty / Cosmetics</t>
        </is>
      </c>
      <c r="D71" s="5" t="inlineStr">
        <is>
          <t>B2C</t>
        </is>
      </c>
      <c r="E71" s="5" t="inlineStr">
        <is>
          <t>Facebook</t>
        </is>
      </c>
      <c r="F71" s="5" t="inlineStr">
        <is>
          <t>lumiereskincare.example.com</t>
        </is>
      </c>
      <c r="G71" s="8" t="n">
        <v>4954</v>
      </c>
      <c r="H71" s="8" t="n">
        <v>21720</v>
      </c>
      <c r="I71" s="8" t="n">
        <v>348</v>
      </c>
      <c r="J71" s="9">
        <f>I71/H71</f>
        <v/>
      </c>
      <c r="K71" s="8" t="n">
        <v>330</v>
      </c>
      <c r="L71" s="8" t="n">
        <v>7</v>
      </c>
      <c r="M71" s="5" t="inlineStr">
        <is>
          <t>N/A</t>
        </is>
      </c>
      <c r="N71" s="5" t="inlineStr">
        <is>
          <t>N/A</t>
        </is>
      </c>
      <c r="O71" s="8" t="inlineStr">
        <is>
          <t>N/A</t>
        </is>
      </c>
      <c r="P71" s="5" t="n">
        <v>7</v>
      </c>
      <c r="Q71" s="8">
        <f>IFERROR(G71/L71,0)</f>
        <v/>
      </c>
      <c r="R71" s="8" t="n">
        <v>10582</v>
      </c>
      <c r="S71" s="10">
        <f>IFERROR(R71/G71,0)</f>
        <v/>
      </c>
    </row>
    <row r="72">
      <c r="A72" s="7" t="n">
        <v>46151</v>
      </c>
      <c r="B72" s="5" t="inlineStr">
        <is>
          <t>Lumiere Skincare</t>
        </is>
      </c>
      <c r="C72" s="5" t="inlineStr">
        <is>
          <t>Beauty / Cosmetics</t>
        </is>
      </c>
      <c r="D72" s="5" t="inlineStr">
        <is>
          <t>B2C</t>
        </is>
      </c>
      <c r="E72" s="5" t="inlineStr">
        <is>
          <t>Facebook</t>
        </is>
      </c>
      <c r="F72" s="5" t="inlineStr">
        <is>
          <t>lumiereskincare.example.com</t>
        </is>
      </c>
      <c r="G72" s="8" t="n">
        <v>5009</v>
      </c>
      <c r="H72" s="8" t="n">
        <v>22687</v>
      </c>
      <c r="I72" s="8" t="n">
        <v>363</v>
      </c>
      <c r="J72" s="9">
        <f>I72/H72</f>
        <v/>
      </c>
      <c r="K72" s="8" t="n">
        <v>334</v>
      </c>
      <c r="L72" s="8" t="n">
        <v>8</v>
      </c>
      <c r="M72" s="5" t="inlineStr">
        <is>
          <t>N/A</t>
        </is>
      </c>
      <c r="N72" s="5" t="inlineStr">
        <is>
          <t>N/A</t>
        </is>
      </c>
      <c r="O72" s="8" t="inlineStr">
        <is>
          <t>N/A</t>
        </is>
      </c>
      <c r="P72" s="5" t="n">
        <v>8</v>
      </c>
      <c r="Q72" s="8">
        <f>IFERROR(G72/L72,0)</f>
        <v/>
      </c>
      <c r="R72" s="8" t="n">
        <v>11053</v>
      </c>
      <c r="S72" s="10">
        <f>IFERROR(R72/G72,0)</f>
        <v/>
      </c>
    </row>
    <row r="73">
      <c r="A73" s="7" t="n">
        <v>46152</v>
      </c>
      <c r="B73" s="5" t="inlineStr">
        <is>
          <t>Lumiere Skincare</t>
        </is>
      </c>
      <c r="C73" s="5" t="inlineStr">
        <is>
          <t>Beauty / Cosmetics</t>
        </is>
      </c>
      <c r="D73" s="5" t="inlineStr">
        <is>
          <t>B2C</t>
        </is>
      </c>
      <c r="E73" s="5" t="inlineStr">
        <is>
          <t>Facebook</t>
        </is>
      </c>
      <c r="F73" s="5" t="inlineStr">
        <is>
          <t>lumiereskincare.example.com</t>
        </is>
      </c>
      <c r="G73" s="8" t="n">
        <v>4965</v>
      </c>
      <c r="H73" s="8" t="n">
        <v>28795</v>
      </c>
      <c r="I73" s="8" t="n">
        <v>461</v>
      </c>
      <c r="J73" s="9">
        <f>I73/H73</f>
        <v/>
      </c>
      <c r="K73" s="8" t="n">
        <v>403</v>
      </c>
      <c r="L73" s="8" t="n">
        <v>10</v>
      </c>
      <c r="M73" s="5" t="inlineStr">
        <is>
          <t>N/A</t>
        </is>
      </c>
      <c r="N73" s="5" t="inlineStr">
        <is>
          <t>N/A</t>
        </is>
      </c>
      <c r="O73" s="8" t="inlineStr">
        <is>
          <t>N/A</t>
        </is>
      </c>
      <c r="P73" s="5" t="n">
        <v>10</v>
      </c>
      <c r="Q73" s="8">
        <f>IFERROR(G73/L73,0)</f>
        <v/>
      </c>
      <c r="R73" s="8" t="n">
        <v>14029</v>
      </c>
      <c r="S73" s="10">
        <f>IFERROR(R73/G73,0)</f>
        <v/>
      </c>
    </row>
    <row r="74">
      <c r="A74" s="7" t="n">
        <v>46153</v>
      </c>
      <c r="B74" s="5" t="inlineStr">
        <is>
          <t>Lumiere Skincare</t>
        </is>
      </c>
      <c r="C74" s="5" t="inlineStr">
        <is>
          <t>Beauty / Cosmetics</t>
        </is>
      </c>
      <c r="D74" s="5" t="inlineStr">
        <is>
          <t>B2C</t>
        </is>
      </c>
      <c r="E74" s="5" t="inlineStr">
        <is>
          <t>Facebook</t>
        </is>
      </c>
      <c r="F74" s="5" t="inlineStr">
        <is>
          <t>lumiereskincare.example.com</t>
        </is>
      </c>
      <c r="G74" s="8" t="n">
        <v>5427</v>
      </c>
      <c r="H74" s="8" t="n">
        <v>24994</v>
      </c>
      <c r="I74" s="8" t="n">
        <v>400</v>
      </c>
      <c r="J74" s="9">
        <f>I74/H74</f>
        <v/>
      </c>
      <c r="K74" s="8" t="n">
        <v>357</v>
      </c>
      <c r="L74" s="8" t="n">
        <v>8</v>
      </c>
      <c r="M74" s="5" t="inlineStr">
        <is>
          <t>N/A</t>
        </is>
      </c>
      <c r="N74" s="5" t="inlineStr">
        <is>
          <t>N/A</t>
        </is>
      </c>
      <c r="O74" s="8" t="inlineStr">
        <is>
          <t>N/A</t>
        </is>
      </c>
      <c r="P74" s="5" t="n">
        <v>8</v>
      </c>
      <c r="Q74" s="8">
        <f>IFERROR(G74/L74,0)</f>
        <v/>
      </c>
      <c r="R74" s="8" t="n">
        <v>12177</v>
      </c>
      <c r="S74" s="10">
        <f>IFERROR(R74/G74,0)</f>
        <v/>
      </c>
    </row>
    <row r="75">
      <c r="A75" s="7" t="n">
        <v>46154</v>
      </c>
      <c r="B75" s="5" t="inlineStr">
        <is>
          <t>Lumiere Skincare</t>
        </is>
      </c>
      <c r="C75" s="5" t="inlineStr">
        <is>
          <t>Beauty / Cosmetics</t>
        </is>
      </c>
      <c r="D75" s="5" t="inlineStr">
        <is>
          <t>B2C</t>
        </is>
      </c>
      <c r="E75" s="5" t="inlineStr">
        <is>
          <t>Facebook</t>
        </is>
      </c>
      <c r="F75" s="5" t="inlineStr">
        <is>
          <t>lumiereskincare.example.com</t>
        </is>
      </c>
      <c r="G75" s="8" t="n">
        <v>4481</v>
      </c>
      <c r="H75" s="8" t="n">
        <v>23300</v>
      </c>
      <c r="I75" s="8" t="n">
        <v>373</v>
      </c>
      <c r="J75" s="9">
        <f>I75/H75</f>
        <v/>
      </c>
      <c r="K75" s="8" t="n">
        <v>349</v>
      </c>
      <c r="L75" s="8" t="n">
        <v>8</v>
      </c>
      <c r="M75" s="5" t="inlineStr">
        <is>
          <t>N/A</t>
        </is>
      </c>
      <c r="N75" s="5" t="inlineStr">
        <is>
          <t>N/A</t>
        </is>
      </c>
      <c r="O75" s="8" t="inlineStr">
        <is>
          <t>N/A</t>
        </is>
      </c>
      <c r="P75" s="5" t="n">
        <v>8</v>
      </c>
      <c r="Q75" s="8">
        <f>IFERROR(G75/L75,0)</f>
        <v/>
      </c>
      <c r="R75" s="8" t="n">
        <v>11352</v>
      </c>
      <c r="S75" s="10">
        <f>IFERROR(R75/G75,0)</f>
        <v/>
      </c>
    </row>
    <row r="76">
      <c r="A76" s="7" t="n">
        <v>46155</v>
      </c>
      <c r="B76" s="5" t="inlineStr">
        <is>
          <t>Lumiere Skincare</t>
        </is>
      </c>
      <c r="C76" s="5" t="inlineStr">
        <is>
          <t>Beauty / Cosmetics</t>
        </is>
      </c>
      <c r="D76" s="5" t="inlineStr">
        <is>
          <t>B2C</t>
        </is>
      </c>
      <c r="E76" s="5" t="inlineStr">
        <is>
          <t>Facebook</t>
        </is>
      </c>
      <c r="F76" s="5" t="inlineStr">
        <is>
          <t>lumiereskincare.example.com</t>
        </is>
      </c>
      <c r="G76" s="8" t="n">
        <v>5408</v>
      </c>
      <c r="H76" s="8" t="n">
        <v>20657</v>
      </c>
      <c r="I76" s="8" t="n">
        <v>331</v>
      </c>
      <c r="J76" s="9">
        <f>I76/H76</f>
        <v/>
      </c>
      <c r="K76" s="8" t="n">
        <v>310</v>
      </c>
      <c r="L76" s="8" t="n">
        <v>7</v>
      </c>
      <c r="M76" s="5" t="inlineStr">
        <is>
          <t>N/A</t>
        </is>
      </c>
      <c r="N76" s="5" t="inlineStr">
        <is>
          <t>N/A</t>
        </is>
      </c>
      <c r="O76" s="8" t="inlineStr">
        <is>
          <t>N/A</t>
        </is>
      </c>
      <c r="P76" s="5" t="n">
        <v>7</v>
      </c>
      <c r="Q76" s="8">
        <f>IFERROR(G76/L76,0)</f>
        <v/>
      </c>
      <c r="R76" s="8" t="n">
        <v>10064</v>
      </c>
      <c r="S76" s="10">
        <f>IFERROR(R76/G76,0)</f>
        <v/>
      </c>
    </row>
    <row r="77">
      <c r="A77" s="7" t="n">
        <v>46156</v>
      </c>
      <c r="B77" s="5" t="inlineStr">
        <is>
          <t>Lumiere Skincare</t>
        </is>
      </c>
      <c r="C77" s="5" t="inlineStr">
        <is>
          <t>Beauty / Cosmetics</t>
        </is>
      </c>
      <c r="D77" s="5" t="inlineStr">
        <is>
          <t>B2C</t>
        </is>
      </c>
      <c r="E77" s="5" t="inlineStr">
        <is>
          <t>Facebook</t>
        </is>
      </c>
      <c r="F77" s="5" t="inlineStr">
        <is>
          <t>lumiereskincare.example.com</t>
        </is>
      </c>
      <c r="G77" s="8" t="n">
        <v>4964</v>
      </c>
      <c r="H77" s="8" t="n">
        <v>29921</v>
      </c>
      <c r="I77" s="8" t="n">
        <v>479</v>
      </c>
      <c r="J77" s="9">
        <f>I77/H77</f>
        <v/>
      </c>
      <c r="K77" s="8" t="n">
        <v>434</v>
      </c>
      <c r="L77" s="8" t="n">
        <v>10</v>
      </c>
      <c r="M77" s="5" t="inlineStr">
        <is>
          <t>N/A</t>
        </is>
      </c>
      <c r="N77" s="5" t="inlineStr">
        <is>
          <t>N/A</t>
        </is>
      </c>
      <c r="O77" s="8" t="inlineStr">
        <is>
          <t>N/A</t>
        </is>
      </c>
      <c r="P77" s="5" t="n">
        <v>10</v>
      </c>
      <c r="Q77" s="8">
        <f>IFERROR(G77/L77,0)</f>
        <v/>
      </c>
      <c r="R77" s="8" t="n">
        <v>14577</v>
      </c>
      <c r="S77" s="10">
        <f>IFERROR(R77/G77,0)</f>
        <v/>
      </c>
    </row>
    <row r="78">
      <c r="A78" s="7" t="n">
        <v>46157</v>
      </c>
      <c r="B78" s="5" t="inlineStr">
        <is>
          <t>Lumiere Skincare</t>
        </is>
      </c>
      <c r="C78" s="5" t="inlineStr">
        <is>
          <t>Beauty / Cosmetics</t>
        </is>
      </c>
      <c r="D78" s="5" t="inlineStr">
        <is>
          <t>B2C</t>
        </is>
      </c>
      <c r="E78" s="5" t="inlineStr">
        <is>
          <t>Facebook</t>
        </is>
      </c>
      <c r="F78" s="5" t="inlineStr">
        <is>
          <t>lumiereskincare.example.com</t>
        </is>
      </c>
      <c r="G78" s="8" t="n">
        <v>5235</v>
      </c>
      <c r="H78" s="8" t="n">
        <v>27651</v>
      </c>
      <c r="I78" s="8" t="n">
        <v>442</v>
      </c>
      <c r="J78" s="9">
        <f>I78/H78</f>
        <v/>
      </c>
      <c r="K78" s="8" t="n">
        <v>389</v>
      </c>
      <c r="L78" s="8" t="n">
        <v>9</v>
      </c>
      <c r="M78" s="5" t="inlineStr">
        <is>
          <t>N/A</t>
        </is>
      </c>
      <c r="N78" s="5" t="inlineStr">
        <is>
          <t>N/A</t>
        </is>
      </c>
      <c r="O78" s="8" t="inlineStr">
        <is>
          <t>N/A</t>
        </is>
      </c>
      <c r="P78" s="5" t="n">
        <v>9</v>
      </c>
      <c r="Q78" s="8">
        <f>IFERROR(G78/L78,0)</f>
        <v/>
      </c>
      <c r="R78" s="8" t="n">
        <v>13472</v>
      </c>
      <c r="S78" s="10">
        <f>IFERROR(R78/G78,0)</f>
        <v/>
      </c>
    </row>
    <row r="79">
      <c r="A79" s="7" t="n">
        <v>46158</v>
      </c>
      <c r="B79" s="5" t="inlineStr">
        <is>
          <t>Lumiere Skincare</t>
        </is>
      </c>
      <c r="C79" s="5" t="inlineStr">
        <is>
          <t>Beauty / Cosmetics</t>
        </is>
      </c>
      <c r="D79" s="5" t="inlineStr">
        <is>
          <t>B2C</t>
        </is>
      </c>
      <c r="E79" s="5" t="inlineStr">
        <is>
          <t>Facebook</t>
        </is>
      </c>
      <c r="F79" s="5" t="inlineStr">
        <is>
          <t>lumiereskincare.example.com</t>
        </is>
      </c>
      <c r="G79" s="8" t="n">
        <v>4698</v>
      </c>
      <c r="H79" s="8" t="n">
        <v>22634</v>
      </c>
      <c r="I79" s="8" t="n">
        <v>362</v>
      </c>
      <c r="J79" s="9">
        <f>I79/H79</f>
        <v/>
      </c>
      <c r="K79" s="8" t="n">
        <v>342</v>
      </c>
      <c r="L79" s="8" t="n">
        <v>8</v>
      </c>
      <c r="M79" s="5" t="inlineStr">
        <is>
          <t>N/A</t>
        </is>
      </c>
      <c r="N79" s="5" t="inlineStr">
        <is>
          <t>N/A</t>
        </is>
      </c>
      <c r="O79" s="8" t="inlineStr">
        <is>
          <t>N/A</t>
        </is>
      </c>
      <c r="P79" s="5" t="n">
        <v>8</v>
      </c>
      <c r="Q79" s="8">
        <f>IFERROR(G79/L79,0)</f>
        <v/>
      </c>
      <c r="R79" s="8" t="n">
        <v>11027</v>
      </c>
      <c r="S79" s="10">
        <f>IFERROR(R79/G79,0)</f>
        <v/>
      </c>
    </row>
    <row r="80">
      <c r="A80" s="7" t="n">
        <v>46159</v>
      </c>
      <c r="B80" s="5" t="inlineStr">
        <is>
          <t>Lumiere Skincare</t>
        </is>
      </c>
      <c r="C80" s="5" t="inlineStr">
        <is>
          <t>Beauty / Cosmetics</t>
        </is>
      </c>
      <c r="D80" s="5" t="inlineStr">
        <is>
          <t>B2C</t>
        </is>
      </c>
      <c r="E80" s="5" t="inlineStr">
        <is>
          <t>Facebook</t>
        </is>
      </c>
      <c r="F80" s="5" t="inlineStr">
        <is>
          <t>lumiereskincare.example.com</t>
        </is>
      </c>
      <c r="G80" s="8" t="n">
        <v>5574</v>
      </c>
      <c r="H80" s="8" t="n">
        <v>29356</v>
      </c>
      <c r="I80" s="8" t="n">
        <v>470</v>
      </c>
      <c r="J80" s="9">
        <f>I80/H80</f>
        <v/>
      </c>
      <c r="K80" s="8" t="n">
        <v>410</v>
      </c>
      <c r="L80" s="8" t="n">
        <v>10</v>
      </c>
      <c r="M80" s="5" t="inlineStr">
        <is>
          <t>N/A</t>
        </is>
      </c>
      <c r="N80" s="5" t="inlineStr">
        <is>
          <t>N/A</t>
        </is>
      </c>
      <c r="O80" s="8" t="inlineStr">
        <is>
          <t>N/A</t>
        </is>
      </c>
      <c r="P80" s="5" t="n">
        <v>10</v>
      </c>
      <c r="Q80" s="8">
        <f>IFERROR(G80/L80,0)</f>
        <v/>
      </c>
      <c r="R80" s="8" t="n">
        <v>14302</v>
      </c>
      <c r="S80" s="10">
        <f>IFERROR(R80/G80,0)</f>
        <v/>
      </c>
    </row>
    <row r="81">
      <c r="A81" s="7" t="n">
        <v>46160</v>
      </c>
      <c r="B81" s="5" t="inlineStr">
        <is>
          <t>Lumiere Skincare</t>
        </is>
      </c>
      <c r="C81" s="5" t="inlineStr">
        <is>
          <t>Beauty / Cosmetics</t>
        </is>
      </c>
      <c r="D81" s="5" t="inlineStr">
        <is>
          <t>B2C</t>
        </is>
      </c>
      <c r="E81" s="5" t="inlineStr">
        <is>
          <t>Facebook</t>
        </is>
      </c>
      <c r="F81" s="5" t="inlineStr">
        <is>
          <t>lumiereskincare.example.com</t>
        </is>
      </c>
      <c r="G81" s="8" t="n">
        <v>5545</v>
      </c>
      <c r="H81" s="8" t="n">
        <v>22693</v>
      </c>
      <c r="I81" s="8" t="n">
        <v>363</v>
      </c>
      <c r="J81" s="9">
        <f>I81/H81</f>
        <v/>
      </c>
      <c r="K81" s="8" t="n">
        <v>353</v>
      </c>
      <c r="L81" s="8" t="n">
        <v>8</v>
      </c>
      <c r="M81" s="5" t="inlineStr">
        <is>
          <t>N/A</t>
        </is>
      </c>
      <c r="N81" s="5" t="inlineStr">
        <is>
          <t>N/A</t>
        </is>
      </c>
      <c r="O81" s="8" t="inlineStr">
        <is>
          <t>N/A</t>
        </is>
      </c>
      <c r="P81" s="5" t="n">
        <v>8</v>
      </c>
      <c r="Q81" s="8">
        <f>IFERROR(G81/L81,0)</f>
        <v/>
      </c>
      <c r="R81" s="8" t="n">
        <v>11056</v>
      </c>
      <c r="S81" s="10">
        <f>IFERROR(R81/G81,0)</f>
        <v/>
      </c>
    </row>
    <row r="82">
      <c r="A82" s="7" t="n">
        <v>46161</v>
      </c>
      <c r="B82" s="5" t="inlineStr">
        <is>
          <t>Lumiere Skincare</t>
        </is>
      </c>
      <c r="C82" s="5" t="inlineStr">
        <is>
          <t>Beauty / Cosmetics</t>
        </is>
      </c>
      <c r="D82" s="5" t="inlineStr">
        <is>
          <t>B2C</t>
        </is>
      </c>
      <c r="E82" s="5" t="inlineStr">
        <is>
          <t>Facebook</t>
        </is>
      </c>
      <c r="F82" s="5" t="inlineStr">
        <is>
          <t>lumiereskincare.example.com</t>
        </is>
      </c>
      <c r="G82" s="8" t="n">
        <v>5443</v>
      </c>
      <c r="H82" s="8" t="n">
        <v>30615</v>
      </c>
      <c r="I82" s="8" t="n">
        <v>490</v>
      </c>
      <c r="J82" s="9">
        <f>I82/H82</f>
        <v/>
      </c>
      <c r="K82" s="8" t="n">
        <v>428</v>
      </c>
      <c r="L82" s="8" t="n">
        <v>10</v>
      </c>
      <c r="M82" s="5" t="inlineStr">
        <is>
          <t>N/A</t>
        </is>
      </c>
      <c r="N82" s="5" t="inlineStr">
        <is>
          <t>N/A</t>
        </is>
      </c>
      <c r="O82" s="8" t="inlineStr">
        <is>
          <t>N/A</t>
        </is>
      </c>
      <c r="P82" s="5" t="n">
        <v>10</v>
      </c>
      <c r="Q82" s="8">
        <f>IFERROR(G82/L82,0)</f>
        <v/>
      </c>
      <c r="R82" s="8" t="n">
        <v>14916</v>
      </c>
      <c r="S82" s="10">
        <f>IFERROR(R82/G82,0)</f>
        <v/>
      </c>
    </row>
    <row r="83">
      <c r="A83" s="7" t="n">
        <v>46162</v>
      </c>
      <c r="B83" s="5" t="inlineStr">
        <is>
          <t>Lumiere Skincare</t>
        </is>
      </c>
      <c r="C83" s="5" t="inlineStr">
        <is>
          <t>Beauty / Cosmetics</t>
        </is>
      </c>
      <c r="D83" s="5" t="inlineStr">
        <is>
          <t>B2C</t>
        </is>
      </c>
      <c r="E83" s="5" t="inlineStr">
        <is>
          <t>Facebook</t>
        </is>
      </c>
      <c r="F83" s="5" t="inlineStr">
        <is>
          <t>lumiereskincare.example.com</t>
        </is>
      </c>
      <c r="G83" s="8" t="n">
        <v>4559</v>
      </c>
      <c r="H83" s="8" t="n">
        <v>21586</v>
      </c>
      <c r="I83" s="8" t="n">
        <v>345</v>
      </c>
      <c r="J83" s="9">
        <f>I83/H83</f>
        <v/>
      </c>
      <c r="K83" s="8" t="n">
        <v>298</v>
      </c>
      <c r="L83" s="8" t="n">
        <v>7</v>
      </c>
      <c r="M83" s="5" t="inlineStr">
        <is>
          <t>N/A</t>
        </is>
      </c>
      <c r="N83" s="5" t="inlineStr">
        <is>
          <t>N/A</t>
        </is>
      </c>
      <c r="O83" s="8" t="inlineStr">
        <is>
          <t>N/A</t>
        </is>
      </c>
      <c r="P83" s="5" t="n">
        <v>7</v>
      </c>
      <c r="Q83" s="8">
        <f>IFERROR(G83/L83,0)</f>
        <v/>
      </c>
      <c r="R83" s="8" t="n">
        <v>10517</v>
      </c>
      <c r="S83" s="10">
        <f>IFERROR(R83/G83,0)</f>
        <v/>
      </c>
    </row>
    <row r="84">
      <c r="A84" s="7" t="n">
        <v>46163</v>
      </c>
      <c r="B84" s="5" t="inlineStr">
        <is>
          <t>Lumiere Skincare</t>
        </is>
      </c>
      <c r="C84" s="5" t="inlineStr">
        <is>
          <t>Beauty / Cosmetics</t>
        </is>
      </c>
      <c r="D84" s="5" t="inlineStr">
        <is>
          <t>B2C</t>
        </is>
      </c>
      <c r="E84" s="5" t="inlineStr">
        <is>
          <t>Facebook</t>
        </is>
      </c>
      <c r="F84" s="5" t="inlineStr">
        <is>
          <t>lumiereskincare.example.com</t>
        </is>
      </c>
      <c r="G84" s="8" t="n">
        <v>5396</v>
      </c>
      <c r="H84" s="8" t="n">
        <v>25930</v>
      </c>
      <c r="I84" s="8" t="n">
        <v>415</v>
      </c>
      <c r="J84" s="9">
        <f>I84/H84</f>
        <v/>
      </c>
      <c r="K84" s="8" t="n">
        <v>379</v>
      </c>
      <c r="L84" s="8" t="n">
        <v>9</v>
      </c>
      <c r="M84" s="5" t="inlineStr">
        <is>
          <t>N/A</t>
        </is>
      </c>
      <c r="N84" s="5" t="inlineStr">
        <is>
          <t>N/A</t>
        </is>
      </c>
      <c r="O84" s="8" t="inlineStr">
        <is>
          <t>N/A</t>
        </is>
      </c>
      <c r="P84" s="5" t="n">
        <v>9</v>
      </c>
      <c r="Q84" s="8">
        <f>IFERROR(G84/L84,0)</f>
        <v/>
      </c>
      <c r="R84" s="8" t="n">
        <v>12633</v>
      </c>
      <c r="S84" s="10">
        <f>IFERROR(R84/G84,0)</f>
        <v/>
      </c>
    </row>
    <row r="85">
      <c r="A85" s="7" t="n">
        <v>46164</v>
      </c>
      <c r="B85" s="5" t="inlineStr">
        <is>
          <t>Lumiere Skincare</t>
        </is>
      </c>
      <c r="C85" s="5" t="inlineStr">
        <is>
          <t>Beauty / Cosmetics</t>
        </is>
      </c>
      <c r="D85" s="5" t="inlineStr">
        <is>
          <t>B2C</t>
        </is>
      </c>
      <c r="E85" s="5" t="inlineStr">
        <is>
          <t>Facebook</t>
        </is>
      </c>
      <c r="F85" s="5" t="inlineStr">
        <is>
          <t>lumiereskincare.example.com</t>
        </is>
      </c>
      <c r="G85" s="8" t="n">
        <v>5245</v>
      </c>
      <c r="H85" s="8" t="n">
        <v>24311</v>
      </c>
      <c r="I85" s="8" t="n">
        <v>389</v>
      </c>
      <c r="J85" s="9">
        <f>I85/H85</f>
        <v/>
      </c>
      <c r="K85" s="8" t="n">
        <v>357</v>
      </c>
      <c r="L85" s="8" t="n">
        <v>8</v>
      </c>
      <c r="M85" s="5" t="inlineStr">
        <is>
          <t>N/A</t>
        </is>
      </c>
      <c r="N85" s="5" t="inlineStr">
        <is>
          <t>N/A</t>
        </is>
      </c>
      <c r="O85" s="8" t="inlineStr">
        <is>
          <t>N/A</t>
        </is>
      </c>
      <c r="P85" s="5" t="n">
        <v>8</v>
      </c>
      <c r="Q85" s="8">
        <f>IFERROR(G85/L85,0)</f>
        <v/>
      </c>
      <c r="R85" s="8" t="n">
        <v>11844</v>
      </c>
      <c r="S85" s="10">
        <f>IFERROR(R85/G85,0)</f>
        <v/>
      </c>
    </row>
    <row r="86">
      <c r="A86" s="7" t="n">
        <v>46165</v>
      </c>
      <c r="B86" s="5" t="inlineStr">
        <is>
          <t>Lumiere Skincare</t>
        </is>
      </c>
      <c r="C86" s="5" t="inlineStr">
        <is>
          <t>Beauty / Cosmetics</t>
        </is>
      </c>
      <c r="D86" s="5" t="inlineStr">
        <is>
          <t>B2C</t>
        </is>
      </c>
      <c r="E86" s="5" t="inlineStr">
        <is>
          <t>Facebook</t>
        </is>
      </c>
      <c r="F86" s="5" t="inlineStr">
        <is>
          <t>lumiereskincare.example.com</t>
        </is>
      </c>
      <c r="G86" s="8" t="n">
        <v>4527</v>
      </c>
      <c r="H86" s="8" t="n">
        <v>20746</v>
      </c>
      <c r="I86" s="8" t="n">
        <v>332</v>
      </c>
      <c r="J86" s="9">
        <f>I86/H86</f>
        <v/>
      </c>
      <c r="K86" s="8" t="n">
        <v>304</v>
      </c>
      <c r="L86" s="8" t="n">
        <v>7</v>
      </c>
      <c r="M86" s="5" t="inlineStr">
        <is>
          <t>N/A</t>
        </is>
      </c>
      <c r="N86" s="5" t="inlineStr">
        <is>
          <t>N/A</t>
        </is>
      </c>
      <c r="O86" s="8" t="inlineStr">
        <is>
          <t>N/A</t>
        </is>
      </c>
      <c r="P86" s="5" t="n">
        <v>7</v>
      </c>
      <c r="Q86" s="8">
        <f>IFERROR(G86/L86,0)</f>
        <v/>
      </c>
      <c r="R86" s="8" t="n">
        <v>10108</v>
      </c>
      <c r="S86" s="10">
        <f>IFERROR(R86/G86,0)</f>
        <v/>
      </c>
    </row>
    <row r="87">
      <c r="A87" s="7" t="n">
        <v>46166</v>
      </c>
      <c r="B87" s="5" t="inlineStr">
        <is>
          <t>Lumiere Skincare</t>
        </is>
      </c>
      <c r="C87" s="5" t="inlineStr">
        <is>
          <t>Beauty / Cosmetics</t>
        </is>
      </c>
      <c r="D87" s="5" t="inlineStr">
        <is>
          <t>B2C</t>
        </is>
      </c>
      <c r="E87" s="5" t="inlineStr">
        <is>
          <t>Facebook</t>
        </is>
      </c>
      <c r="F87" s="5" t="inlineStr">
        <is>
          <t>lumiereskincare.example.com</t>
        </is>
      </c>
      <c r="G87" s="8" t="n">
        <v>5091</v>
      </c>
      <c r="H87" s="8" t="n">
        <v>27171</v>
      </c>
      <c r="I87" s="8" t="n">
        <v>435</v>
      </c>
      <c r="J87" s="9">
        <f>I87/H87</f>
        <v/>
      </c>
      <c r="K87" s="8" t="n">
        <v>394</v>
      </c>
      <c r="L87" s="8" t="n">
        <v>9</v>
      </c>
      <c r="M87" s="5" t="inlineStr">
        <is>
          <t>N/A</t>
        </is>
      </c>
      <c r="N87" s="5" t="inlineStr">
        <is>
          <t>N/A</t>
        </is>
      </c>
      <c r="O87" s="8" t="inlineStr">
        <is>
          <t>N/A</t>
        </is>
      </c>
      <c r="P87" s="5" t="n">
        <v>9</v>
      </c>
      <c r="Q87" s="8">
        <f>IFERROR(G87/L87,0)</f>
        <v/>
      </c>
      <c r="R87" s="8" t="n">
        <v>13238</v>
      </c>
      <c r="S87" s="10">
        <f>IFERROR(R87/G87,0)</f>
        <v/>
      </c>
    </row>
    <row r="88">
      <c r="A88" s="7" t="n">
        <v>46167</v>
      </c>
      <c r="B88" s="5" t="inlineStr">
        <is>
          <t>Lumiere Skincare</t>
        </is>
      </c>
      <c r="C88" s="5" t="inlineStr">
        <is>
          <t>Beauty / Cosmetics</t>
        </is>
      </c>
      <c r="D88" s="5" t="inlineStr">
        <is>
          <t>B2C</t>
        </is>
      </c>
      <c r="E88" s="5" t="inlineStr">
        <is>
          <t>Facebook</t>
        </is>
      </c>
      <c r="F88" s="5" t="inlineStr">
        <is>
          <t>lumiereskincare.example.com</t>
        </is>
      </c>
      <c r="G88" s="8" t="n">
        <v>5230</v>
      </c>
      <c r="H88" s="8" t="n">
        <v>26555</v>
      </c>
      <c r="I88" s="8" t="n">
        <v>425</v>
      </c>
      <c r="J88" s="9">
        <f>I88/H88</f>
        <v/>
      </c>
      <c r="K88" s="8" t="n">
        <v>416</v>
      </c>
      <c r="L88" s="8" t="n">
        <v>9</v>
      </c>
      <c r="M88" s="5" t="inlineStr">
        <is>
          <t>N/A</t>
        </is>
      </c>
      <c r="N88" s="5" t="inlineStr">
        <is>
          <t>N/A</t>
        </is>
      </c>
      <c r="O88" s="8" t="inlineStr">
        <is>
          <t>N/A</t>
        </is>
      </c>
      <c r="P88" s="5" t="n">
        <v>9</v>
      </c>
      <c r="Q88" s="8">
        <f>IFERROR(G88/L88,0)</f>
        <v/>
      </c>
      <c r="R88" s="8" t="n">
        <v>12938</v>
      </c>
      <c r="S88" s="10">
        <f>IFERROR(R88/G88,0)</f>
        <v/>
      </c>
    </row>
    <row r="89">
      <c r="A89" s="7" t="n">
        <v>46168</v>
      </c>
      <c r="B89" s="5" t="inlineStr">
        <is>
          <t>Lumiere Skincare</t>
        </is>
      </c>
      <c r="C89" s="5" t="inlineStr">
        <is>
          <t>Beauty / Cosmetics</t>
        </is>
      </c>
      <c r="D89" s="5" t="inlineStr">
        <is>
          <t>B2C</t>
        </is>
      </c>
      <c r="E89" s="5" t="inlineStr">
        <is>
          <t>Facebook</t>
        </is>
      </c>
      <c r="F89" s="5" t="inlineStr">
        <is>
          <t>lumiereskincare.example.com</t>
        </is>
      </c>
      <c r="G89" s="8" t="n">
        <v>5299</v>
      </c>
      <c r="H89" s="8" t="n">
        <v>28142</v>
      </c>
      <c r="I89" s="8" t="n">
        <v>450</v>
      </c>
      <c r="J89" s="9">
        <f>I89/H89</f>
        <v/>
      </c>
      <c r="K89" s="8" t="n">
        <v>411</v>
      </c>
      <c r="L89" s="8" t="n">
        <v>9</v>
      </c>
      <c r="M89" s="5" t="inlineStr">
        <is>
          <t>N/A</t>
        </is>
      </c>
      <c r="N89" s="5" t="inlineStr">
        <is>
          <t>N/A</t>
        </is>
      </c>
      <c r="O89" s="8" t="inlineStr">
        <is>
          <t>N/A</t>
        </is>
      </c>
      <c r="P89" s="5" t="n">
        <v>9</v>
      </c>
      <c r="Q89" s="8">
        <f>IFERROR(G89/L89,0)</f>
        <v/>
      </c>
      <c r="R89" s="8" t="n">
        <v>13711</v>
      </c>
      <c r="S89" s="10">
        <f>IFERROR(R89/G89,0)</f>
        <v/>
      </c>
    </row>
    <row r="90">
      <c r="A90" s="7" t="n">
        <v>46169</v>
      </c>
      <c r="B90" s="5" t="inlineStr">
        <is>
          <t>Lumiere Skincare</t>
        </is>
      </c>
      <c r="C90" s="5" t="inlineStr">
        <is>
          <t>Beauty / Cosmetics</t>
        </is>
      </c>
      <c r="D90" s="5" t="inlineStr">
        <is>
          <t>B2C</t>
        </is>
      </c>
      <c r="E90" s="5" t="inlineStr">
        <is>
          <t>Facebook</t>
        </is>
      </c>
      <c r="F90" s="5" t="inlineStr">
        <is>
          <t>lumiereskincare.example.com</t>
        </is>
      </c>
      <c r="G90" s="8" t="n">
        <v>5163</v>
      </c>
      <c r="H90" s="8" t="n">
        <v>25408</v>
      </c>
      <c r="I90" s="8" t="n">
        <v>407</v>
      </c>
      <c r="J90" s="9">
        <f>I90/H90</f>
        <v/>
      </c>
      <c r="K90" s="8" t="n">
        <v>371</v>
      </c>
      <c r="L90" s="8" t="n">
        <v>9</v>
      </c>
      <c r="M90" s="5" t="inlineStr">
        <is>
          <t>N/A</t>
        </is>
      </c>
      <c r="N90" s="5" t="inlineStr">
        <is>
          <t>N/A</t>
        </is>
      </c>
      <c r="O90" s="8" t="inlineStr">
        <is>
          <t>N/A</t>
        </is>
      </c>
      <c r="P90" s="5" t="n">
        <v>9</v>
      </c>
      <c r="Q90" s="8">
        <f>IFERROR(G90/L90,0)</f>
        <v/>
      </c>
      <c r="R90" s="8" t="n">
        <v>12379</v>
      </c>
      <c r="S90" s="10">
        <f>IFERROR(R90/G90,0)</f>
        <v/>
      </c>
    </row>
    <row r="91">
      <c r="A91" s="7" t="n">
        <v>46170</v>
      </c>
      <c r="B91" s="5" t="inlineStr">
        <is>
          <t>Lumiere Skincare</t>
        </is>
      </c>
      <c r="C91" s="5" t="inlineStr">
        <is>
          <t>Beauty / Cosmetics</t>
        </is>
      </c>
      <c r="D91" s="5" t="inlineStr">
        <is>
          <t>B2C</t>
        </is>
      </c>
      <c r="E91" s="5" t="inlineStr">
        <is>
          <t>Facebook</t>
        </is>
      </c>
      <c r="F91" s="5" t="inlineStr">
        <is>
          <t>lumiereskincare.example.com</t>
        </is>
      </c>
      <c r="G91" s="8" t="n">
        <v>5204</v>
      </c>
      <c r="H91" s="8" t="n">
        <v>27214</v>
      </c>
      <c r="I91" s="8" t="n">
        <v>435</v>
      </c>
      <c r="J91" s="9">
        <f>I91/H91</f>
        <v/>
      </c>
      <c r="K91" s="8" t="n">
        <v>394</v>
      </c>
      <c r="L91" s="8" t="n">
        <v>9</v>
      </c>
      <c r="M91" s="5" t="inlineStr">
        <is>
          <t>N/A</t>
        </is>
      </c>
      <c r="N91" s="5" t="inlineStr">
        <is>
          <t>N/A</t>
        </is>
      </c>
      <c r="O91" s="8" t="inlineStr">
        <is>
          <t>N/A</t>
        </is>
      </c>
      <c r="P91" s="5" t="n">
        <v>9</v>
      </c>
      <c r="Q91" s="8">
        <f>IFERROR(G91/L91,0)</f>
        <v/>
      </c>
      <c r="R91" s="8" t="n">
        <v>13259</v>
      </c>
      <c r="S91" s="10">
        <f>IFERROR(R91/G91,0)</f>
        <v/>
      </c>
    </row>
    <row r="92">
      <c r="A92" s="7" t="n">
        <v>46171</v>
      </c>
      <c r="B92" s="5" t="inlineStr">
        <is>
          <t>Lumiere Skincare</t>
        </is>
      </c>
      <c r="C92" s="5" t="inlineStr">
        <is>
          <t>Beauty / Cosmetics</t>
        </is>
      </c>
      <c r="D92" s="5" t="inlineStr">
        <is>
          <t>B2C</t>
        </is>
      </c>
      <c r="E92" s="5" t="inlineStr">
        <is>
          <t>Facebook</t>
        </is>
      </c>
      <c r="F92" s="5" t="inlineStr">
        <is>
          <t>lumiereskincare.example.com</t>
        </is>
      </c>
      <c r="G92" s="8" t="n">
        <v>5626</v>
      </c>
      <c r="H92" s="8" t="n">
        <v>26322</v>
      </c>
      <c r="I92" s="8" t="n">
        <v>421</v>
      </c>
      <c r="J92" s="9">
        <f>I92/H92</f>
        <v/>
      </c>
      <c r="K92" s="8" t="n">
        <v>362</v>
      </c>
      <c r="L92" s="8" t="n">
        <v>9</v>
      </c>
      <c r="M92" s="5" t="inlineStr">
        <is>
          <t>N/A</t>
        </is>
      </c>
      <c r="N92" s="5" t="inlineStr">
        <is>
          <t>N/A</t>
        </is>
      </c>
      <c r="O92" s="8" t="inlineStr">
        <is>
          <t>N/A</t>
        </is>
      </c>
      <c r="P92" s="5" t="n">
        <v>9</v>
      </c>
      <c r="Q92" s="8">
        <f>IFERROR(G92/L92,0)</f>
        <v/>
      </c>
      <c r="R92" s="8" t="n">
        <v>12824</v>
      </c>
      <c r="S92" s="10">
        <f>IFERROR(R92/G92,0)</f>
        <v/>
      </c>
    </row>
    <row r="93">
      <c r="A93" s="7" t="n">
        <v>46172</v>
      </c>
      <c r="B93" s="5" t="inlineStr">
        <is>
          <t>Lumiere Skincare</t>
        </is>
      </c>
      <c r="C93" s="5" t="inlineStr">
        <is>
          <t>Beauty / Cosmetics</t>
        </is>
      </c>
      <c r="D93" s="5" t="inlineStr">
        <is>
          <t>B2C</t>
        </is>
      </c>
      <c r="E93" s="5" t="inlineStr">
        <is>
          <t>Facebook</t>
        </is>
      </c>
      <c r="F93" s="5" t="inlineStr">
        <is>
          <t>lumiereskincare.example.com</t>
        </is>
      </c>
      <c r="G93" s="8" t="n">
        <v>5538</v>
      </c>
      <c r="H93" s="8" t="n">
        <v>34578</v>
      </c>
      <c r="I93" s="8" t="n">
        <v>553</v>
      </c>
      <c r="J93" s="9">
        <f>I93/H93</f>
        <v/>
      </c>
      <c r="K93" s="8" t="n">
        <v>513</v>
      </c>
      <c r="L93" s="8" t="n">
        <v>12</v>
      </c>
      <c r="M93" s="5" t="inlineStr">
        <is>
          <t>N/A</t>
        </is>
      </c>
      <c r="N93" s="5" t="inlineStr">
        <is>
          <t>N/A</t>
        </is>
      </c>
      <c r="O93" s="8" t="inlineStr">
        <is>
          <t>N/A</t>
        </is>
      </c>
      <c r="P93" s="5" t="n">
        <v>12</v>
      </c>
      <c r="Q93" s="8">
        <f>IFERROR(G93/L93,0)</f>
        <v/>
      </c>
      <c r="R93" s="8" t="n">
        <v>16847</v>
      </c>
      <c r="S93" s="10">
        <f>IFERROR(R93/G93,0)</f>
        <v/>
      </c>
    </row>
    <row r="94">
      <c r="A94" s="7" t="n">
        <v>46173</v>
      </c>
      <c r="B94" s="5" t="inlineStr">
        <is>
          <t>Lumiere Skincare</t>
        </is>
      </c>
      <c r="C94" s="5" t="inlineStr">
        <is>
          <t>Beauty / Cosmetics</t>
        </is>
      </c>
      <c r="D94" s="5" t="inlineStr">
        <is>
          <t>B2C</t>
        </is>
      </c>
      <c r="E94" s="5" t="inlineStr">
        <is>
          <t>Facebook</t>
        </is>
      </c>
      <c r="F94" s="5" t="inlineStr">
        <is>
          <t>lumiereskincare.example.com</t>
        </is>
      </c>
      <c r="G94" s="8" t="n">
        <v>4076</v>
      </c>
      <c r="H94" s="8" t="n">
        <v>16303</v>
      </c>
      <c r="I94" s="8" t="n">
        <v>261</v>
      </c>
      <c r="J94" s="9">
        <f>I94/H94</f>
        <v/>
      </c>
      <c r="K94" s="8" t="n">
        <v>229</v>
      </c>
      <c r="L94" s="8" t="n">
        <v>5</v>
      </c>
      <c r="M94" s="5" t="inlineStr">
        <is>
          <t>N/A</t>
        </is>
      </c>
      <c r="N94" s="5" t="inlineStr">
        <is>
          <t>N/A</t>
        </is>
      </c>
      <c r="O94" s="8" t="inlineStr">
        <is>
          <t>N/A</t>
        </is>
      </c>
      <c r="P94" s="5" t="n">
        <v>5</v>
      </c>
      <c r="Q94" s="8">
        <f>IFERROR(G94/L94,0)</f>
        <v/>
      </c>
      <c r="R94" s="8" t="n">
        <v>7943</v>
      </c>
      <c r="S94" s="10">
        <f>IFERROR(R94/G94,0)</f>
        <v/>
      </c>
    </row>
    <row r="95">
      <c r="A95" s="7" t="n">
        <v>46143</v>
      </c>
      <c r="B95" s="5" t="inlineStr">
        <is>
          <t>Lumiere Skincare</t>
        </is>
      </c>
      <c r="C95" s="5" t="inlineStr">
        <is>
          <t>Beauty / Cosmetics</t>
        </is>
      </c>
      <c r="D95" s="5" t="inlineStr">
        <is>
          <t>B2C</t>
        </is>
      </c>
      <c r="E95" s="5" t="inlineStr">
        <is>
          <t>Pinterest</t>
        </is>
      </c>
      <c r="F95" s="5" t="inlineStr">
        <is>
          <t>lumiereskincare.example.com</t>
        </is>
      </c>
      <c r="G95" s="8" t="n">
        <v>1386</v>
      </c>
      <c r="H95" s="8" t="n">
        <v>6942</v>
      </c>
      <c r="I95" s="8" t="n">
        <v>97</v>
      </c>
      <c r="J95" s="9">
        <f>I95/H95</f>
        <v/>
      </c>
      <c r="K95" s="8" t="n">
        <v>86</v>
      </c>
      <c r="L95" s="8" t="n">
        <v>3</v>
      </c>
      <c r="M95" s="5" t="inlineStr">
        <is>
          <t>N/A</t>
        </is>
      </c>
      <c r="N95" s="5" t="inlineStr">
        <is>
          <t>N/A</t>
        </is>
      </c>
      <c r="O95" s="8" t="inlineStr">
        <is>
          <t>N/A</t>
        </is>
      </c>
      <c r="P95" s="5" t="n">
        <v>3</v>
      </c>
      <c r="Q95" s="8">
        <f>IFERROR(G95/L95,0)</f>
        <v/>
      </c>
      <c r="R95" s="8" t="n">
        <v>3805</v>
      </c>
      <c r="S95" s="10">
        <f>IFERROR(R95/G95,0)</f>
        <v/>
      </c>
    </row>
    <row r="96">
      <c r="A96" s="7" t="n">
        <v>46144</v>
      </c>
      <c r="B96" s="5" t="inlineStr">
        <is>
          <t>Lumiere Skincare</t>
        </is>
      </c>
      <c r="C96" s="5" t="inlineStr">
        <is>
          <t>Beauty / Cosmetics</t>
        </is>
      </c>
      <c r="D96" s="5" t="inlineStr">
        <is>
          <t>B2C</t>
        </is>
      </c>
      <c r="E96" s="5" t="inlineStr">
        <is>
          <t>Pinterest</t>
        </is>
      </c>
      <c r="F96" s="5" t="inlineStr">
        <is>
          <t>lumiereskincare.example.com</t>
        </is>
      </c>
      <c r="G96" s="8" t="n">
        <v>1428</v>
      </c>
      <c r="H96" s="8" t="n">
        <v>9133</v>
      </c>
      <c r="I96" s="8" t="n">
        <v>128</v>
      </c>
      <c r="J96" s="9">
        <f>I96/H96</f>
        <v/>
      </c>
      <c r="K96" s="8" t="n">
        <v>121</v>
      </c>
      <c r="L96" s="8" t="n">
        <v>3</v>
      </c>
      <c r="M96" s="5" t="inlineStr">
        <is>
          <t>N/A</t>
        </is>
      </c>
      <c r="N96" s="5" t="inlineStr">
        <is>
          <t>N/A</t>
        </is>
      </c>
      <c r="O96" s="8" t="inlineStr">
        <is>
          <t>N/A</t>
        </is>
      </c>
      <c r="P96" s="5" t="n">
        <v>3</v>
      </c>
      <c r="Q96" s="8">
        <f>IFERROR(G96/L96,0)</f>
        <v/>
      </c>
      <c r="R96" s="8" t="n">
        <v>5006</v>
      </c>
      <c r="S96" s="10">
        <f>IFERROR(R96/G96,0)</f>
        <v/>
      </c>
    </row>
    <row r="97">
      <c r="A97" s="7" t="n">
        <v>46145</v>
      </c>
      <c r="B97" s="5" t="inlineStr">
        <is>
          <t>Lumiere Skincare</t>
        </is>
      </c>
      <c r="C97" s="5" t="inlineStr">
        <is>
          <t>Beauty / Cosmetics</t>
        </is>
      </c>
      <c r="D97" s="5" t="inlineStr">
        <is>
          <t>B2C</t>
        </is>
      </c>
      <c r="E97" s="5" t="inlineStr">
        <is>
          <t>Pinterest</t>
        </is>
      </c>
      <c r="F97" s="5" t="inlineStr">
        <is>
          <t>lumiereskincare.example.com</t>
        </is>
      </c>
      <c r="G97" s="8" t="n">
        <v>1628</v>
      </c>
      <c r="H97" s="8" t="n">
        <v>6862</v>
      </c>
      <c r="I97" s="8" t="n">
        <v>96</v>
      </c>
      <c r="J97" s="9">
        <f>I97/H97</f>
        <v/>
      </c>
      <c r="K97" s="8" t="n">
        <v>86</v>
      </c>
      <c r="L97" s="8" t="n">
        <v>3</v>
      </c>
      <c r="M97" s="5" t="inlineStr">
        <is>
          <t>N/A</t>
        </is>
      </c>
      <c r="N97" s="5" t="inlineStr">
        <is>
          <t>N/A</t>
        </is>
      </c>
      <c r="O97" s="8" t="inlineStr">
        <is>
          <t>N/A</t>
        </is>
      </c>
      <c r="P97" s="5" t="n">
        <v>3</v>
      </c>
      <c r="Q97" s="8">
        <f>IFERROR(G97/L97,0)</f>
        <v/>
      </c>
      <c r="R97" s="8" t="n">
        <v>3761</v>
      </c>
      <c r="S97" s="10">
        <f>IFERROR(R97/G97,0)</f>
        <v/>
      </c>
    </row>
    <row r="98">
      <c r="A98" s="7" t="n">
        <v>46146</v>
      </c>
      <c r="B98" s="5" t="inlineStr">
        <is>
          <t>Lumiere Skincare</t>
        </is>
      </c>
      <c r="C98" s="5" t="inlineStr">
        <is>
          <t>Beauty / Cosmetics</t>
        </is>
      </c>
      <c r="D98" s="5" t="inlineStr">
        <is>
          <t>B2C</t>
        </is>
      </c>
      <c r="E98" s="5" t="inlineStr">
        <is>
          <t>Pinterest</t>
        </is>
      </c>
      <c r="F98" s="5" t="inlineStr">
        <is>
          <t>lumiereskincare.example.com</t>
        </is>
      </c>
      <c r="G98" s="8" t="n">
        <v>1549</v>
      </c>
      <c r="H98" s="8" t="n">
        <v>7540</v>
      </c>
      <c r="I98" s="8" t="n">
        <v>106</v>
      </c>
      <c r="J98" s="9">
        <f>I98/H98</f>
        <v/>
      </c>
      <c r="K98" s="8" t="n">
        <v>93</v>
      </c>
      <c r="L98" s="8" t="n">
        <v>3</v>
      </c>
      <c r="M98" s="5" t="inlineStr">
        <is>
          <t>N/A</t>
        </is>
      </c>
      <c r="N98" s="5" t="inlineStr">
        <is>
          <t>N/A</t>
        </is>
      </c>
      <c r="O98" s="8" t="inlineStr">
        <is>
          <t>N/A</t>
        </is>
      </c>
      <c r="P98" s="5" t="n">
        <v>3</v>
      </c>
      <c r="Q98" s="8">
        <f>IFERROR(G98/L98,0)</f>
        <v/>
      </c>
      <c r="R98" s="8" t="n">
        <v>4133</v>
      </c>
      <c r="S98" s="10">
        <f>IFERROR(R98/G98,0)</f>
        <v/>
      </c>
    </row>
    <row r="99">
      <c r="A99" s="7" t="n">
        <v>46147</v>
      </c>
      <c r="B99" s="5" t="inlineStr">
        <is>
          <t>Lumiere Skincare</t>
        </is>
      </c>
      <c r="C99" s="5" t="inlineStr">
        <is>
          <t>Beauty / Cosmetics</t>
        </is>
      </c>
      <c r="D99" s="5" t="inlineStr">
        <is>
          <t>B2C</t>
        </is>
      </c>
      <c r="E99" s="5" t="inlineStr">
        <is>
          <t>Pinterest</t>
        </is>
      </c>
      <c r="F99" s="5" t="inlineStr">
        <is>
          <t>lumiereskincare.example.com</t>
        </is>
      </c>
      <c r="G99" s="8" t="n">
        <v>1370</v>
      </c>
      <c r="H99" s="8" t="n">
        <v>8431</v>
      </c>
      <c r="I99" s="8" t="n">
        <v>118</v>
      </c>
      <c r="J99" s="9">
        <f>I99/H99</f>
        <v/>
      </c>
      <c r="K99" s="8" t="n">
        <v>102</v>
      </c>
      <c r="L99" s="8" t="n">
        <v>3</v>
      </c>
      <c r="M99" s="5" t="inlineStr">
        <is>
          <t>N/A</t>
        </is>
      </c>
      <c r="N99" s="5" t="inlineStr">
        <is>
          <t>N/A</t>
        </is>
      </c>
      <c r="O99" s="8" t="inlineStr">
        <is>
          <t>N/A</t>
        </is>
      </c>
      <c r="P99" s="5" t="n">
        <v>3</v>
      </c>
      <c r="Q99" s="8">
        <f>IFERROR(G99/L99,0)</f>
        <v/>
      </c>
      <c r="R99" s="8" t="n">
        <v>4621</v>
      </c>
      <c r="S99" s="10">
        <f>IFERROR(R99/G99,0)</f>
        <v/>
      </c>
    </row>
    <row r="100">
      <c r="A100" s="7" t="n">
        <v>46148</v>
      </c>
      <c r="B100" s="5" t="inlineStr">
        <is>
          <t>Lumiere Skincare</t>
        </is>
      </c>
      <c r="C100" s="5" t="inlineStr">
        <is>
          <t>Beauty / Cosmetics</t>
        </is>
      </c>
      <c r="D100" s="5" t="inlineStr">
        <is>
          <t>B2C</t>
        </is>
      </c>
      <c r="E100" s="5" t="inlineStr">
        <is>
          <t>Pinterest</t>
        </is>
      </c>
      <c r="F100" s="5" t="inlineStr">
        <is>
          <t>lumiereskincare.example.com</t>
        </is>
      </c>
      <c r="G100" s="8" t="n">
        <v>1342</v>
      </c>
      <c r="H100" s="8" t="n">
        <v>7225</v>
      </c>
      <c r="I100" s="8" t="n">
        <v>101</v>
      </c>
      <c r="J100" s="9">
        <f>I100/H100</f>
        <v/>
      </c>
      <c r="K100" s="8" t="n">
        <v>92</v>
      </c>
      <c r="L100" s="8" t="n">
        <v>3</v>
      </c>
      <c r="M100" s="5" t="inlineStr">
        <is>
          <t>N/A</t>
        </is>
      </c>
      <c r="N100" s="5" t="inlineStr">
        <is>
          <t>N/A</t>
        </is>
      </c>
      <c r="O100" s="8" t="inlineStr">
        <is>
          <t>N/A</t>
        </is>
      </c>
      <c r="P100" s="5" t="n">
        <v>3</v>
      </c>
      <c r="Q100" s="8">
        <f>IFERROR(G100/L100,0)</f>
        <v/>
      </c>
      <c r="R100" s="8" t="n">
        <v>3960</v>
      </c>
      <c r="S100" s="10">
        <f>IFERROR(R100/G100,0)</f>
        <v/>
      </c>
    </row>
    <row r="101">
      <c r="A101" s="7" t="n">
        <v>46149</v>
      </c>
      <c r="B101" s="5" t="inlineStr">
        <is>
          <t>Lumiere Skincare</t>
        </is>
      </c>
      <c r="C101" s="5" t="inlineStr">
        <is>
          <t>Beauty / Cosmetics</t>
        </is>
      </c>
      <c r="D101" s="5" t="inlineStr">
        <is>
          <t>B2C</t>
        </is>
      </c>
      <c r="E101" s="5" t="inlineStr">
        <is>
          <t>Pinterest</t>
        </is>
      </c>
      <c r="F101" s="5" t="inlineStr">
        <is>
          <t>lumiereskincare.example.com</t>
        </is>
      </c>
      <c r="G101" s="8" t="n">
        <v>1368</v>
      </c>
      <c r="H101" s="8" t="n">
        <v>7461</v>
      </c>
      <c r="I101" s="8" t="n">
        <v>104</v>
      </c>
      <c r="J101" s="9">
        <f>I101/H101</f>
        <v/>
      </c>
      <c r="K101" s="8" t="n">
        <v>93</v>
      </c>
      <c r="L101" s="8" t="n">
        <v>3</v>
      </c>
      <c r="M101" s="5" t="inlineStr">
        <is>
          <t>N/A</t>
        </is>
      </c>
      <c r="N101" s="5" t="inlineStr">
        <is>
          <t>N/A</t>
        </is>
      </c>
      <c r="O101" s="8" t="inlineStr">
        <is>
          <t>N/A</t>
        </is>
      </c>
      <c r="P101" s="5" t="n">
        <v>3</v>
      </c>
      <c r="Q101" s="8">
        <f>IFERROR(G101/L101,0)</f>
        <v/>
      </c>
      <c r="R101" s="8" t="n">
        <v>4090</v>
      </c>
      <c r="S101" s="10">
        <f>IFERROR(R101/G101,0)</f>
        <v/>
      </c>
    </row>
    <row r="102">
      <c r="A102" s="7" t="n">
        <v>46150</v>
      </c>
      <c r="B102" s="5" t="inlineStr">
        <is>
          <t>Lumiere Skincare</t>
        </is>
      </c>
      <c r="C102" s="5" t="inlineStr">
        <is>
          <t>Beauty / Cosmetics</t>
        </is>
      </c>
      <c r="D102" s="5" t="inlineStr">
        <is>
          <t>B2C</t>
        </is>
      </c>
      <c r="E102" s="5" t="inlineStr">
        <is>
          <t>Pinterest</t>
        </is>
      </c>
      <c r="F102" s="5" t="inlineStr">
        <is>
          <t>lumiereskincare.example.com</t>
        </is>
      </c>
      <c r="G102" s="8" t="n">
        <v>1450</v>
      </c>
      <c r="H102" s="8" t="n">
        <v>7509</v>
      </c>
      <c r="I102" s="8" t="n">
        <v>105</v>
      </c>
      <c r="J102" s="9">
        <f>I102/H102</f>
        <v/>
      </c>
      <c r="K102" s="8" t="n">
        <v>94</v>
      </c>
      <c r="L102" s="8" t="n">
        <v>3</v>
      </c>
      <c r="M102" s="5" t="inlineStr">
        <is>
          <t>N/A</t>
        </is>
      </c>
      <c r="N102" s="5" t="inlineStr">
        <is>
          <t>N/A</t>
        </is>
      </c>
      <c r="O102" s="8" t="inlineStr">
        <is>
          <t>N/A</t>
        </is>
      </c>
      <c r="P102" s="5" t="n">
        <v>3</v>
      </c>
      <c r="Q102" s="8">
        <f>IFERROR(G102/L102,0)</f>
        <v/>
      </c>
      <c r="R102" s="8" t="n">
        <v>4116</v>
      </c>
      <c r="S102" s="10">
        <f>IFERROR(R102/G102,0)</f>
        <v/>
      </c>
    </row>
    <row r="103">
      <c r="A103" s="7" t="n">
        <v>46151</v>
      </c>
      <c r="B103" s="5" t="inlineStr">
        <is>
          <t>Lumiere Skincare</t>
        </is>
      </c>
      <c r="C103" s="5" t="inlineStr">
        <is>
          <t>Beauty / Cosmetics</t>
        </is>
      </c>
      <c r="D103" s="5" t="inlineStr">
        <is>
          <t>B2C</t>
        </is>
      </c>
      <c r="E103" s="5" t="inlineStr">
        <is>
          <t>Pinterest</t>
        </is>
      </c>
      <c r="F103" s="5" t="inlineStr">
        <is>
          <t>lumiereskincare.example.com</t>
        </is>
      </c>
      <c r="G103" s="8" t="n">
        <v>1390</v>
      </c>
      <c r="H103" s="8" t="n">
        <v>7380</v>
      </c>
      <c r="I103" s="8" t="n">
        <v>103</v>
      </c>
      <c r="J103" s="9">
        <f>I103/H103</f>
        <v/>
      </c>
      <c r="K103" s="8" t="n">
        <v>91</v>
      </c>
      <c r="L103" s="8" t="n">
        <v>3</v>
      </c>
      <c r="M103" s="5" t="inlineStr">
        <is>
          <t>N/A</t>
        </is>
      </c>
      <c r="N103" s="5" t="inlineStr">
        <is>
          <t>N/A</t>
        </is>
      </c>
      <c r="O103" s="8" t="inlineStr">
        <is>
          <t>N/A</t>
        </is>
      </c>
      <c r="P103" s="5" t="n">
        <v>3</v>
      </c>
      <c r="Q103" s="8">
        <f>IFERROR(G103/L103,0)</f>
        <v/>
      </c>
      <c r="R103" s="8" t="n">
        <v>4045</v>
      </c>
      <c r="S103" s="10">
        <f>IFERROR(R103/G103,0)</f>
        <v/>
      </c>
    </row>
    <row r="104">
      <c r="A104" s="7" t="n">
        <v>46152</v>
      </c>
      <c r="B104" s="5" t="inlineStr">
        <is>
          <t>Lumiere Skincare</t>
        </is>
      </c>
      <c r="C104" s="5" t="inlineStr">
        <is>
          <t>Beauty / Cosmetics</t>
        </is>
      </c>
      <c r="D104" s="5" t="inlineStr">
        <is>
          <t>B2C</t>
        </is>
      </c>
      <c r="E104" s="5" t="inlineStr">
        <is>
          <t>Pinterest</t>
        </is>
      </c>
      <c r="F104" s="5" t="inlineStr">
        <is>
          <t>lumiereskincare.example.com</t>
        </is>
      </c>
      <c r="G104" s="8" t="n">
        <v>1361</v>
      </c>
      <c r="H104" s="8" t="n">
        <v>7603</v>
      </c>
      <c r="I104" s="8" t="n">
        <v>106</v>
      </c>
      <c r="J104" s="9">
        <f>I104/H104</f>
        <v/>
      </c>
      <c r="K104" s="8" t="n">
        <v>101</v>
      </c>
      <c r="L104" s="8" t="n">
        <v>3</v>
      </c>
      <c r="M104" s="5" t="inlineStr">
        <is>
          <t>N/A</t>
        </is>
      </c>
      <c r="N104" s="5" t="inlineStr">
        <is>
          <t>N/A</t>
        </is>
      </c>
      <c r="O104" s="8" t="inlineStr">
        <is>
          <t>N/A</t>
        </is>
      </c>
      <c r="P104" s="5" t="n">
        <v>3</v>
      </c>
      <c r="Q104" s="8">
        <f>IFERROR(G104/L104,0)</f>
        <v/>
      </c>
      <c r="R104" s="8" t="n">
        <v>4167</v>
      </c>
      <c r="S104" s="10">
        <f>IFERROR(R104/G104,0)</f>
        <v/>
      </c>
    </row>
    <row r="105">
      <c r="A105" s="7" t="n">
        <v>46153</v>
      </c>
      <c r="B105" s="5" t="inlineStr">
        <is>
          <t>Lumiere Skincare</t>
        </is>
      </c>
      <c r="C105" s="5" t="inlineStr">
        <is>
          <t>Beauty / Cosmetics</t>
        </is>
      </c>
      <c r="D105" s="5" t="inlineStr">
        <is>
          <t>B2C</t>
        </is>
      </c>
      <c r="E105" s="5" t="inlineStr">
        <is>
          <t>Pinterest</t>
        </is>
      </c>
      <c r="F105" s="5" t="inlineStr">
        <is>
          <t>lumiereskincare.example.com</t>
        </is>
      </c>
      <c r="G105" s="8" t="n">
        <v>1544</v>
      </c>
      <c r="H105" s="8" t="n">
        <v>7120</v>
      </c>
      <c r="I105" s="8" t="n">
        <v>100</v>
      </c>
      <c r="J105" s="9">
        <f>I105/H105</f>
        <v/>
      </c>
      <c r="K105" s="8" t="n">
        <v>97</v>
      </c>
      <c r="L105" s="8" t="n">
        <v>3</v>
      </c>
      <c r="M105" s="5" t="inlineStr">
        <is>
          <t>N/A</t>
        </is>
      </c>
      <c r="N105" s="5" t="inlineStr">
        <is>
          <t>N/A</t>
        </is>
      </c>
      <c r="O105" s="8" t="inlineStr">
        <is>
          <t>N/A</t>
        </is>
      </c>
      <c r="P105" s="5" t="n">
        <v>3</v>
      </c>
      <c r="Q105" s="8">
        <f>IFERROR(G105/L105,0)</f>
        <v/>
      </c>
      <c r="R105" s="8" t="n">
        <v>3903</v>
      </c>
      <c r="S105" s="10">
        <f>IFERROR(R105/G105,0)</f>
        <v/>
      </c>
    </row>
    <row r="106">
      <c r="A106" s="7" t="n">
        <v>46154</v>
      </c>
      <c r="B106" s="5" t="inlineStr">
        <is>
          <t>Lumiere Skincare</t>
        </is>
      </c>
      <c r="C106" s="5" t="inlineStr">
        <is>
          <t>Beauty / Cosmetics</t>
        </is>
      </c>
      <c r="D106" s="5" t="inlineStr">
        <is>
          <t>B2C</t>
        </is>
      </c>
      <c r="E106" s="5" t="inlineStr">
        <is>
          <t>Pinterest</t>
        </is>
      </c>
      <c r="F106" s="5" t="inlineStr">
        <is>
          <t>lumiereskincare.example.com</t>
        </is>
      </c>
      <c r="G106" s="8" t="n">
        <v>1389</v>
      </c>
      <c r="H106" s="8" t="n">
        <v>7842</v>
      </c>
      <c r="I106" s="8" t="n">
        <v>110</v>
      </c>
      <c r="J106" s="9">
        <f>I106/H106</f>
        <v/>
      </c>
      <c r="K106" s="8" t="n">
        <v>100</v>
      </c>
      <c r="L106" s="8" t="n">
        <v>3</v>
      </c>
      <c r="M106" s="5" t="inlineStr">
        <is>
          <t>N/A</t>
        </is>
      </c>
      <c r="N106" s="5" t="inlineStr">
        <is>
          <t>N/A</t>
        </is>
      </c>
      <c r="O106" s="8" t="inlineStr">
        <is>
          <t>N/A</t>
        </is>
      </c>
      <c r="P106" s="5" t="n">
        <v>3</v>
      </c>
      <c r="Q106" s="8">
        <f>IFERROR(G106/L106,0)</f>
        <v/>
      </c>
      <c r="R106" s="8" t="n">
        <v>4298</v>
      </c>
      <c r="S106" s="10">
        <f>IFERROR(R106/G106,0)</f>
        <v/>
      </c>
    </row>
    <row r="107">
      <c r="A107" s="7" t="n">
        <v>46155</v>
      </c>
      <c r="B107" s="5" t="inlineStr">
        <is>
          <t>Lumiere Skincare</t>
        </is>
      </c>
      <c r="C107" s="5" t="inlineStr">
        <is>
          <t>Beauty / Cosmetics</t>
        </is>
      </c>
      <c r="D107" s="5" t="inlineStr">
        <is>
          <t>B2C</t>
        </is>
      </c>
      <c r="E107" s="5" t="inlineStr">
        <is>
          <t>Pinterest</t>
        </is>
      </c>
      <c r="F107" s="5" t="inlineStr">
        <is>
          <t>lumiereskincare.example.com</t>
        </is>
      </c>
      <c r="G107" s="8" t="n">
        <v>1625</v>
      </c>
      <c r="H107" s="8" t="n">
        <v>6935</v>
      </c>
      <c r="I107" s="8" t="n">
        <v>97</v>
      </c>
      <c r="J107" s="9">
        <f>I107/H107</f>
        <v/>
      </c>
      <c r="K107" s="8" t="n">
        <v>91</v>
      </c>
      <c r="L107" s="8" t="n">
        <v>3</v>
      </c>
      <c r="M107" s="5" t="inlineStr">
        <is>
          <t>N/A</t>
        </is>
      </c>
      <c r="N107" s="5" t="inlineStr">
        <is>
          <t>N/A</t>
        </is>
      </c>
      <c r="O107" s="8" t="inlineStr">
        <is>
          <t>N/A</t>
        </is>
      </c>
      <c r="P107" s="5" t="n">
        <v>3</v>
      </c>
      <c r="Q107" s="8">
        <f>IFERROR(G107/L107,0)</f>
        <v/>
      </c>
      <c r="R107" s="8" t="n">
        <v>3801</v>
      </c>
      <c r="S107" s="10">
        <f>IFERROR(R107/G107,0)</f>
        <v/>
      </c>
    </row>
    <row r="108">
      <c r="A108" s="7" t="n">
        <v>46156</v>
      </c>
      <c r="B108" s="5" t="inlineStr">
        <is>
          <t>Lumiere Skincare</t>
        </is>
      </c>
      <c r="C108" s="5" t="inlineStr">
        <is>
          <t>Beauty / Cosmetics</t>
        </is>
      </c>
      <c r="D108" s="5" t="inlineStr">
        <is>
          <t>B2C</t>
        </is>
      </c>
      <c r="E108" s="5" t="inlineStr">
        <is>
          <t>Pinterest</t>
        </is>
      </c>
      <c r="F108" s="5" t="inlineStr">
        <is>
          <t>lumiereskincare.example.com</t>
        </is>
      </c>
      <c r="G108" s="8" t="n">
        <v>1409</v>
      </c>
      <c r="H108" s="8" t="n">
        <v>7481</v>
      </c>
      <c r="I108" s="8" t="n">
        <v>105</v>
      </c>
      <c r="J108" s="9">
        <f>I108/H108</f>
        <v/>
      </c>
      <c r="K108" s="8" t="n">
        <v>101</v>
      </c>
      <c r="L108" s="8" t="n">
        <v>3</v>
      </c>
      <c r="M108" s="5" t="inlineStr">
        <is>
          <t>N/A</t>
        </is>
      </c>
      <c r="N108" s="5" t="inlineStr">
        <is>
          <t>N/A</t>
        </is>
      </c>
      <c r="O108" s="8" t="inlineStr">
        <is>
          <t>N/A</t>
        </is>
      </c>
      <c r="P108" s="5" t="n">
        <v>3</v>
      </c>
      <c r="Q108" s="8">
        <f>IFERROR(G108/L108,0)</f>
        <v/>
      </c>
      <c r="R108" s="8" t="n">
        <v>4100</v>
      </c>
      <c r="S108" s="10">
        <f>IFERROR(R108/G108,0)</f>
        <v/>
      </c>
    </row>
    <row r="109">
      <c r="A109" s="7" t="n">
        <v>46157</v>
      </c>
      <c r="B109" s="5" t="inlineStr">
        <is>
          <t>Lumiere Skincare</t>
        </is>
      </c>
      <c r="C109" s="5" t="inlineStr">
        <is>
          <t>Beauty / Cosmetics</t>
        </is>
      </c>
      <c r="D109" s="5" t="inlineStr">
        <is>
          <t>B2C</t>
        </is>
      </c>
      <c r="E109" s="5" t="inlineStr">
        <is>
          <t>Pinterest</t>
        </is>
      </c>
      <c r="F109" s="5" t="inlineStr">
        <is>
          <t>lumiereskincare.example.com</t>
        </is>
      </c>
      <c r="G109" s="8" t="n">
        <v>1575</v>
      </c>
      <c r="H109" s="8" t="n">
        <v>8218</v>
      </c>
      <c r="I109" s="8" t="n">
        <v>115</v>
      </c>
      <c r="J109" s="9">
        <f>I109/H109</f>
        <v/>
      </c>
      <c r="K109" s="8" t="n">
        <v>113</v>
      </c>
      <c r="L109" s="8" t="n">
        <v>3</v>
      </c>
      <c r="M109" s="5" t="inlineStr">
        <is>
          <t>N/A</t>
        </is>
      </c>
      <c r="N109" s="5" t="inlineStr">
        <is>
          <t>N/A</t>
        </is>
      </c>
      <c r="O109" s="8" t="inlineStr">
        <is>
          <t>N/A</t>
        </is>
      </c>
      <c r="P109" s="5" t="n">
        <v>3</v>
      </c>
      <c r="Q109" s="8">
        <f>IFERROR(G109/L109,0)</f>
        <v/>
      </c>
      <c r="R109" s="8" t="n">
        <v>4504</v>
      </c>
      <c r="S109" s="10">
        <f>IFERROR(R109/G109,0)</f>
        <v/>
      </c>
    </row>
    <row r="110">
      <c r="A110" s="7" t="n">
        <v>46158</v>
      </c>
      <c r="B110" s="5" t="inlineStr">
        <is>
          <t>Lumiere Skincare</t>
        </is>
      </c>
      <c r="C110" s="5" t="inlineStr">
        <is>
          <t>Beauty / Cosmetics</t>
        </is>
      </c>
      <c r="D110" s="5" t="inlineStr">
        <is>
          <t>B2C</t>
        </is>
      </c>
      <c r="E110" s="5" t="inlineStr">
        <is>
          <t>Pinterest</t>
        </is>
      </c>
      <c r="F110" s="5" t="inlineStr">
        <is>
          <t>lumiereskincare.example.com</t>
        </is>
      </c>
      <c r="G110" s="8" t="n">
        <v>1435</v>
      </c>
      <c r="H110" s="8" t="n">
        <v>6789</v>
      </c>
      <c r="I110" s="8" t="n">
        <v>95</v>
      </c>
      <c r="J110" s="9">
        <f>I110/H110</f>
        <v/>
      </c>
      <c r="K110" s="8" t="n">
        <v>88</v>
      </c>
      <c r="L110" s="8" t="n">
        <v>3</v>
      </c>
      <c r="M110" s="5" t="inlineStr">
        <is>
          <t>N/A</t>
        </is>
      </c>
      <c r="N110" s="5" t="inlineStr">
        <is>
          <t>N/A</t>
        </is>
      </c>
      <c r="O110" s="8" t="inlineStr">
        <is>
          <t>N/A</t>
        </is>
      </c>
      <c r="P110" s="5" t="n">
        <v>3</v>
      </c>
      <c r="Q110" s="8">
        <f>IFERROR(G110/L110,0)</f>
        <v/>
      </c>
      <c r="R110" s="8" t="n">
        <v>3721</v>
      </c>
      <c r="S110" s="10">
        <f>IFERROR(R110/G110,0)</f>
        <v/>
      </c>
    </row>
    <row r="111">
      <c r="A111" s="7" t="n">
        <v>46159</v>
      </c>
      <c r="B111" s="5" t="inlineStr">
        <is>
          <t>Lumiere Skincare</t>
        </is>
      </c>
      <c r="C111" s="5" t="inlineStr">
        <is>
          <t>Beauty / Cosmetics</t>
        </is>
      </c>
      <c r="D111" s="5" t="inlineStr">
        <is>
          <t>B2C</t>
        </is>
      </c>
      <c r="E111" s="5" t="inlineStr">
        <is>
          <t>Pinterest</t>
        </is>
      </c>
      <c r="F111" s="5" t="inlineStr">
        <is>
          <t>lumiereskincare.example.com</t>
        </is>
      </c>
      <c r="G111" s="8" t="n">
        <v>1494</v>
      </c>
      <c r="H111" s="8" t="n">
        <v>7613</v>
      </c>
      <c r="I111" s="8" t="n">
        <v>107</v>
      </c>
      <c r="J111" s="9">
        <f>I111/H111</f>
        <v/>
      </c>
      <c r="K111" s="8" t="n">
        <v>103</v>
      </c>
      <c r="L111" s="8" t="n">
        <v>3</v>
      </c>
      <c r="M111" s="5" t="inlineStr">
        <is>
          <t>N/A</t>
        </is>
      </c>
      <c r="N111" s="5" t="inlineStr">
        <is>
          <t>N/A</t>
        </is>
      </c>
      <c r="O111" s="8" t="inlineStr">
        <is>
          <t>N/A</t>
        </is>
      </c>
      <c r="P111" s="5" t="n">
        <v>3</v>
      </c>
      <c r="Q111" s="8">
        <f>IFERROR(G111/L111,0)</f>
        <v/>
      </c>
      <c r="R111" s="8" t="n">
        <v>4173</v>
      </c>
      <c r="S111" s="10">
        <f>IFERROR(R111/G111,0)</f>
        <v/>
      </c>
    </row>
    <row r="112">
      <c r="A112" s="7" t="n">
        <v>46160</v>
      </c>
      <c r="B112" s="5" t="inlineStr">
        <is>
          <t>Lumiere Skincare</t>
        </is>
      </c>
      <c r="C112" s="5" t="inlineStr">
        <is>
          <t>Beauty / Cosmetics</t>
        </is>
      </c>
      <c r="D112" s="5" t="inlineStr">
        <is>
          <t>B2C</t>
        </is>
      </c>
      <c r="E112" s="5" t="inlineStr">
        <is>
          <t>Pinterest</t>
        </is>
      </c>
      <c r="F112" s="5" t="inlineStr">
        <is>
          <t>lumiereskincare.example.com</t>
        </is>
      </c>
      <c r="G112" s="8" t="n">
        <v>1329</v>
      </c>
      <c r="H112" s="8" t="n">
        <v>6282</v>
      </c>
      <c r="I112" s="8" t="n">
        <v>88</v>
      </c>
      <c r="J112" s="9">
        <f>I112/H112</f>
        <v/>
      </c>
      <c r="K112" s="8" t="n">
        <v>85</v>
      </c>
      <c r="L112" s="8" t="n">
        <v>2</v>
      </c>
      <c r="M112" s="5" t="inlineStr">
        <is>
          <t>N/A</t>
        </is>
      </c>
      <c r="N112" s="5" t="inlineStr">
        <is>
          <t>N/A</t>
        </is>
      </c>
      <c r="O112" s="8" t="inlineStr">
        <is>
          <t>N/A</t>
        </is>
      </c>
      <c r="P112" s="5" t="n">
        <v>2</v>
      </c>
      <c r="Q112" s="8">
        <f>IFERROR(G112/L112,0)</f>
        <v/>
      </c>
      <c r="R112" s="8" t="n">
        <v>3443</v>
      </c>
      <c r="S112" s="10">
        <f>IFERROR(R112/G112,0)</f>
        <v/>
      </c>
    </row>
    <row r="113">
      <c r="A113" s="7" t="n">
        <v>46161</v>
      </c>
      <c r="B113" s="5" t="inlineStr">
        <is>
          <t>Lumiere Skincare</t>
        </is>
      </c>
      <c r="C113" s="5" t="inlineStr">
        <is>
          <t>Beauty / Cosmetics</t>
        </is>
      </c>
      <c r="D113" s="5" t="inlineStr">
        <is>
          <t>B2C</t>
        </is>
      </c>
      <c r="E113" s="5" t="inlineStr">
        <is>
          <t>Pinterest</t>
        </is>
      </c>
      <c r="F113" s="5" t="inlineStr">
        <is>
          <t>lumiereskincare.example.com</t>
        </is>
      </c>
      <c r="G113" s="8" t="n">
        <v>1316</v>
      </c>
      <c r="H113" s="8" t="n">
        <v>5860</v>
      </c>
      <c r="I113" s="8" t="n">
        <v>82</v>
      </c>
      <c r="J113" s="9">
        <f>I113/H113</f>
        <v/>
      </c>
      <c r="K113" s="8" t="n">
        <v>78</v>
      </c>
      <c r="L113" s="8" t="n">
        <v>2</v>
      </c>
      <c r="M113" s="5" t="inlineStr">
        <is>
          <t>N/A</t>
        </is>
      </c>
      <c r="N113" s="5" t="inlineStr">
        <is>
          <t>N/A</t>
        </is>
      </c>
      <c r="O113" s="8" t="inlineStr">
        <is>
          <t>N/A</t>
        </is>
      </c>
      <c r="P113" s="5" t="n">
        <v>2</v>
      </c>
      <c r="Q113" s="8">
        <f>IFERROR(G113/L113,0)</f>
        <v/>
      </c>
      <c r="R113" s="8" t="n">
        <v>3212</v>
      </c>
      <c r="S113" s="10">
        <f>IFERROR(R113/G113,0)</f>
        <v/>
      </c>
    </row>
    <row r="114">
      <c r="A114" s="7" t="n">
        <v>46162</v>
      </c>
      <c r="B114" s="5" t="inlineStr">
        <is>
          <t>Lumiere Skincare</t>
        </is>
      </c>
      <c r="C114" s="5" t="inlineStr">
        <is>
          <t>Beauty / Cosmetics</t>
        </is>
      </c>
      <c r="D114" s="5" t="inlineStr">
        <is>
          <t>B2C</t>
        </is>
      </c>
      <c r="E114" s="5" t="inlineStr">
        <is>
          <t>Pinterest</t>
        </is>
      </c>
      <c r="F114" s="5" t="inlineStr">
        <is>
          <t>lumiereskincare.example.com</t>
        </is>
      </c>
      <c r="G114" s="8" t="n">
        <v>1445</v>
      </c>
      <c r="H114" s="8" t="n">
        <v>7069</v>
      </c>
      <c r="I114" s="8" t="n">
        <v>99</v>
      </c>
      <c r="J114" s="9">
        <f>I114/H114</f>
        <v/>
      </c>
      <c r="K114" s="8" t="n">
        <v>90</v>
      </c>
      <c r="L114" s="8" t="n">
        <v>3</v>
      </c>
      <c r="M114" s="5" t="inlineStr">
        <is>
          <t>N/A</t>
        </is>
      </c>
      <c r="N114" s="5" t="inlineStr">
        <is>
          <t>N/A</t>
        </is>
      </c>
      <c r="O114" s="8" t="inlineStr">
        <is>
          <t>N/A</t>
        </is>
      </c>
      <c r="P114" s="5" t="n">
        <v>3</v>
      </c>
      <c r="Q114" s="8">
        <f>IFERROR(G114/L114,0)</f>
        <v/>
      </c>
      <c r="R114" s="8" t="n">
        <v>3874</v>
      </c>
      <c r="S114" s="10">
        <f>IFERROR(R114/G114,0)</f>
        <v/>
      </c>
    </row>
    <row r="115">
      <c r="A115" s="7" t="n">
        <v>46163</v>
      </c>
      <c r="B115" s="5" t="inlineStr">
        <is>
          <t>Lumiere Skincare</t>
        </is>
      </c>
      <c r="C115" s="5" t="inlineStr">
        <is>
          <t>Beauty / Cosmetics</t>
        </is>
      </c>
      <c r="D115" s="5" t="inlineStr">
        <is>
          <t>B2C</t>
        </is>
      </c>
      <c r="E115" s="5" t="inlineStr">
        <is>
          <t>Pinterest</t>
        </is>
      </c>
      <c r="F115" s="5" t="inlineStr">
        <is>
          <t>lumiereskincare.example.com</t>
        </is>
      </c>
      <c r="G115" s="8" t="n">
        <v>1497</v>
      </c>
      <c r="H115" s="8" t="n">
        <v>6634</v>
      </c>
      <c r="I115" s="8" t="n">
        <v>93</v>
      </c>
      <c r="J115" s="9">
        <f>I115/H115</f>
        <v/>
      </c>
      <c r="K115" s="8" t="n">
        <v>80</v>
      </c>
      <c r="L115" s="8" t="n">
        <v>3</v>
      </c>
      <c r="M115" s="5" t="inlineStr">
        <is>
          <t>N/A</t>
        </is>
      </c>
      <c r="N115" s="5" t="inlineStr">
        <is>
          <t>N/A</t>
        </is>
      </c>
      <c r="O115" s="8" t="inlineStr">
        <is>
          <t>N/A</t>
        </is>
      </c>
      <c r="P115" s="5" t="n">
        <v>3</v>
      </c>
      <c r="Q115" s="8">
        <f>IFERROR(G115/L115,0)</f>
        <v/>
      </c>
      <c r="R115" s="8" t="n">
        <v>3636</v>
      </c>
      <c r="S115" s="10">
        <f>IFERROR(R115/G115,0)</f>
        <v/>
      </c>
    </row>
    <row r="116">
      <c r="A116" s="7" t="n">
        <v>46164</v>
      </c>
      <c r="B116" s="5" t="inlineStr">
        <is>
          <t>Lumiere Skincare</t>
        </is>
      </c>
      <c r="C116" s="5" t="inlineStr">
        <is>
          <t>Beauty / Cosmetics</t>
        </is>
      </c>
      <c r="D116" s="5" t="inlineStr">
        <is>
          <t>B2C</t>
        </is>
      </c>
      <c r="E116" s="5" t="inlineStr">
        <is>
          <t>Pinterest</t>
        </is>
      </c>
      <c r="F116" s="5" t="inlineStr">
        <is>
          <t>lumiereskincare.example.com</t>
        </is>
      </c>
      <c r="G116" s="8" t="n">
        <v>1404</v>
      </c>
      <c r="H116" s="8" t="n">
        <v>7450</v>
      </c>
      <c r="I116" s="8" t="n">
        <v>104</v>
      </c>
      <c r="J116" s="9">
        <f>I116/H116</f>
        <v/>
      </c>
      <c r="K116" s="8" t="n">
        <v>89</v>
      </c>
      <c r="L116" s="8" t="n">
        <v>3</v>
      </c>
      <c r="M116" s="5" t="inlineStr">
        <is>
          <t>N/A</t>
        </is>
      </c>
      <c r="N116" s="5" t="inlineStr">
        <is>
          <t>N/A</t>
        </is>
      </c>
      <c r="O116" s="8" t="inlineStr">
        <is>
          <t>N/A</t>
        </is>
      </c>
      <c r="P116" s="5" t="n">
        <v>3</v>
      </c>
      <c r="Q116" s="8">
        <f>IFERROR(G116/L116,0)</f>
        <v/>
      </c>
      <c r="R116" s="8" t="n">
        <v>4083</v>
      </c>
      <c r="S116" s="10">
        <f>IFERROR(R116/G116,0)</f>
        <v/>
      </c>
    </row>
    <row r="117">
      <c r="A117" s="7" t="n">
        <v>46165</v>
      </c>
      <c r="B117" s="5" t="inlineStr">
        <is>
          <t>Lumiere Skincare</t>
        </is>
      </c>
      <c r="C117" s="5" t="inlineStr">
        <is>
          <t>Beauty / Cosmetics</t>
        </is>
      </c>
      <c r="D117" s="5" t="inlineStr">
        <is>
          <t>B2C</t>
        </is>
      </c>
      <c r="E117" s="5" t="inlineStr">
        <is>
          <t>Pinterest</t>
        </is>
      </c>
      <c r="F117" s="5" t="inlineStr">
        <is>
          <t>lumiereskincare.example.com</t>
        </is>
      </c>
      <c r="G117" s="8" t="n">
        <v>1274</v>
      </c>
      <c r="H117" s="8" t="n">
        <v>5610</v>
      </c>
      <c r="I117" s="8" t="n">
        <v>79</v>
      </c>
      <c r="J117" s="9">
        <f>I117/H117</f>
        <v/>
      </c>
      <c r="K117" s="8" t="n">
        <v>72</v>
      </c>
      <c r="L117" s="8" t="n">
        <v>2</v>
      </c>
      <c r="M117" s="5" t="inlineStr">
        <is>
          <t>N/A</t>
        </is>
      </c>
      <c r="N117" s="5" t="inlineStr">
        <is>
          <t>N/A</t>
        </is>
      </c>
      <c r="O117" s="8" t="inlineStr">
        <is>
          <t>N/A</t>
        </is>
      </c>
      <c r="P117" s="5" t="n">
        <v>2</v>
      </c>
      <c r="Q117" s="8">
        <f>IFERROR(G117/L117,0)</f>
        <v/>
      </c>
      <c r="R117" s="8" t="n">
        <v>3075</v>
      </c>
      <c r="S117" s="10">
        <f>IFERROR(R117/G117,0)</f>
        <v/>
      </c>
    </row>
    <row r="118">
      <c r="A118" s="7" t="n">
        <v>46166</v>
      </c>
      <c r="B118" s="5" t="inlineStr">
        <is>
          <t>Lumiere Skincare</t>
        </is>
      </c>
      <c r="C118" s="5" t="inlineStr">
        <is>
          <t>Beauty / Cosmetics</t>
        </is>
      </c>
      <c r="D118" s="5" t="inlineStr">
        <is>
          <t>B2C</t>
        </is>
      </c>
      <c r="E118" s="5" t="inlineStr">
        <is>
          <t>Pinterest</t>
        </is>
      </c>
      <c r="F118" s="5" t="inlineStr">
        <is>
          <t>lumiereskincare.example.com</t>
        </is>
      </c>
      <c r="G118" s="8" t="n">
        <v>1267</v>
      </c>
      <c r="H118" s="8" t="n">
        <v>7024</v>
      </c>
      <c r="I118" s="8" t="n">
        <v>98</v>
      </c>
      <c r="J118" s="9">
        <f>I118/H118</f>
        <v/>
      </c>
      <c r="K118" s="8" t="n">
        <v>90</v>
      </c>
      <c r="L118" s="8" t="n">
        <v>3</v>
      </c>
      <c r="M118" s="5" t="inlineStr">
        <is>
          <t>N/A</t>
        </is>
      </c>
      <c r="N118" s="5" t="inlineStr">
        <is>
          <t>N/A</t>
        </is>
      </c>
      <c r="O118" s="8" t="inlineStr">
        <is>
          <t>N/A</t>
        </is>
      </c>
      <c r="P118" s="5" t="n">
        <v>3</v>
      </c>
      <c r="Q118" s="8">
        <f>IFERROR(G118/L118,0)</f>
        <v/>
      </c>
      <c r="R118" s="8" t="n">
        <v>3850</v>
      </c>
      <c r="S118" s="10">
        <f>IFERROR(R118/G118,0)</f>
        <v/>
      </c>
    </row>
    <row r="119">
      <c r="A119" s="7" t="n">
        <v>46167</v>
      </c>
      <c r="B119" s="5" t="inlineStr">
        <is>
          <t>Lumiere Skincare</t>
        </is>
      </c>
      <c r="C119" s="5" t="inlineStr">
        <is>
          <t>Beauty / Cosmetics</t>
        </is>
      </c>
      <c r="D119" s="5" t="inlineStr">
        <is>
          <t>B2C</t>
        </is>
      </c>
      <c r="E119" s="5" t="inlineStr">
        <is>
          <t>Pinterest</t>
        </is>
      </c>
      <c r="F119" s="5" t="inlineStr">
        <is>
          <t>lumiereskincare.example.com</t>
        </is>
      </c>
      <c r="G119" s="8" t="n">
        <v>1260</v>
      </c>
      <c r="H119" s="8" t="n">
        <v>5525</v>
      </c>
      <c r="I119" s="8" t="n">
        <v>77</v>
      </c>
      <c r="J119" s="9">
        <f>I119/H119</f>
        <v/>
      </c>
      <c r="K119" s="8" t="n">
        <v>70</v>
      </c>
      <c r="L119" s="8" t="n">
        <v>2</v>
      </c>
      <c r="M119" s="5" t="inlineStr">
        <is>
          <t>N/A</t>
        </is>
      </c>
      <c r="N119" s="5" t="inlineStr">
        <is>
          <t>N/A</t>
        </is>
      </c>
      <c r="O119" s="8" t="inlineStr">
        <is>
          <t>N/A</t>
        </is>
      </c>
      <c r="P119" s="5" t="n">
        <v>2</v>
      </c>
      <c r="Q119" s="8">
        <f>IFERROR(G119/L119,0)</f>
        <v/>
      </c>
      <c r="R119" s="8" t="n">
        <v>3028</v>
      </c>
      <c r="S119" s="10">
        <f>IFERROR(R119/G119,0)</f>
        <v/>
      </c>
    </row>
    <row r="120">
      <c r="A120" s="7" t="n">
        <v>46168</v>
      </c>
      <c r="B120" s="5" t="inlineStr">
        <is>
          <t>Lumiere Skincare</t>
        </is>
      </c>
      <c r="C120" s="5" t="inlineStr">
        <is>
          <t>Beauty / Cosmetics</t>
        </is>
      </c>
      <c r="D120" s="5" t="inlineStr">
        <is>
          <t>B2C</t>
        </is>
      </c>
      <c r="E120" s="5" t="inlineStr">
        <is>
          <t>Pinterest</t>
        </is>
      </c>
      <c r="F120" s="5" t="inlineStr">
        <is>
          <t>lumiereskincare.example.com</t>
        </is>
      </c>
      <c r="G120" s="8" t="n">
        <v>1227</v>
      </c>
      <c r="H120" s="8" t="n">
        <v>5841</v>
      </c>
      <c r="I120" s="8" t="n">
        <v>82</v>
      </c>
      <c r="J120" s="9">
        <f>I120/H120</f>
        <v/>
      </c>
      <c r="K120" s="8" t="n">
        <v>76</v>
      </c>
      <c r="L120" s="8" t="n">
        <v>2</v>
      </c>
      <c r="M120" s="5" t="inlineStr">
        <is>
          <t>N/A</t>
        </is>
      </c>
      <c r="N120" s="5" t="inlineStr">
        <is>
          <t>N/A</t>
        </is>
      </c>
      <c r="O120" s="8" t="inlineStr">
        <is>
          <t>N/A</t>
        </is>
      </c>
      <c r="P120" s="5" t="n">
        <v>2</v>
      </c>
      <c r="Q120" s="8">
        <f>IFERROR(G120/L120,0)</f>
        <v/>
      </c>
      <c r="R120" s="8" t="n">
        <v>3202</v>
      </c>
      <c r="S120" s="10">
        <f>IFERROR(R120/G120,0)</f>
        <v/>
      </c>
    </row>
    <row r="121">
      <c r="A121" s="7" t="n">
        <v>46169</v>
      </c>
      <c r="B121" s="5" t="inlineStr">
        <is>
          <t>Lumiere Skincare</t>
        </is>
      </c>
      <c r="C121" s="5" t="inlineStr">
        <is>
          <t>Beauty / Cosmetics</t>
        </is>
      </c>
      <c r="D121" s="5" t="inlineStr">
        <is>
          <t>B2C</t>
        </is>
      </c>
      <c r="E121" s="5" t="inlineStr">
        <is>
          <t>Pinterest</t>
        </is>
      </c>
      <c r="F121" s="5" t="inlineStr">
        <is>
          <t>lumiereskincare.example.com</t>
        </is>
      </c>
      <c r="G121" s="8" t="n">
        <v>1411</v>
      </c>
      <c r="H121" s="8" t="n">
        <v>6667</v>
      </c>
      <c r="I121" s="8" t="n">
        <v>93</v>
      </c>
      <c r="J121" s="9">
        <f>I121/H121</f>
        <v/>
      </c>
      <c r="K121" s="8" t="n">
        <v>86</v>
      </c>
      <c r="L121" s="8" t="n">
        <v>3</v>
      </c>
      <c r="M121" s="5" t="inlineStr">
        <is>
          <t>N/A</t>
        </is>
      </c>
      <c r="N121" s="5" t="inlineStr">
        <is>
          <t>N/A</t>
        </is>
      </c>
      <c r="O121" s="8" t="inlineStr">
        <is>
          <t>N/A</t>
        </is>
      </c>
      <c r="P121" s="5" t="n">
        <v>3</v>
      </c>
      <c r="Q121" s="8">
        <f>IFERROR(G121/L121,0)</f>
        <v/>
      </c>
      <c r="R121" s="8" t="n">
        <v>3654</v>
      </c>
      <c r="S121" s="10">
        <f>IFERROR(R121/G121,0)</f>
        <v/>
      </c>
    </row>
    <row r="122">
      <c r="A122" s="7" t="n">
        <v>46170</v>
      </c>
      <c r="B122" s="5" t="inlineStr">
        <is>
          <t>Lumiere Skincare</t>
        </is>
      </c>
      <c r="C122" s="5" t="inlineStr">
        <is>
          <t>Beauty / Cosmetics</t>
        </is>
      </c>
      <c r="D122" s="5" t="inlineStr">
        <is>
          <t>B2C</t>
        </is>
      </c>
      <c r="E122" s="5" t="inlineStr">
        <is>
          <t>Pinterest</t>
        </is>
      </c>
      <c r="F122" s="5" t="inlineStr">
        <is>
          <t>lumiereskincare.example.com</t>
        </is>
      </c>
      <c r="G122" s="8" t="n">
        <v>1510</v>
      </c>
      <c r="H122" s="8" t="n">
        <v>8942</v>
      </c>
      <c r="I122" s="8" t="n">
        <v>125</v>
      </c>
      <c r="J122" s="9">
        <f>I122/H122</f>
        <v/>
      </c>
      <c r="K122" s="8" t="n">
        <v>120</v>
      </c>
      <c r="L122" s="8" t="n">
        <v>3</v>
      </c>
      <c r="M122" s="5" t="inlineStr">
        <is>
          <t>N/A</t>
        </is>
      </c>
      <c r="N122" s="5" t="inlineStr">
        <is>
          <t>N/A</t>
        </is>
      </c>
      <c r="O122" s="8" t="inlineStr">
        <is>
          <t>N/A</t>
        </is>
      </c>
      <c r="P122" s="5" t="n">
        <v>3</v>
      </c>
      <c r="Q122" s="8">
        <f>IFERROR(G122/L122,0)</f>
        <v/>
      </c>
      <c r="R122" s="8" t="n">
        <v>4901</v>
      </c>
      <c r="S122" s="10">
        <f>IFERROR(R122/G122,0)</f>
        <v/>
      </c>
    </row>
    <row r="123">
      <c r="A123" s="7" t="n">
        <v>46171</v>
      </c>
      <c r="B123" s="5" t="inlineStr">
        <is>
          <t>Lumiere Skincare</t>
        </is>
      </c>
      <c r="C123" s="5" t="inlineStr">
        <is>
          <t>Beauty / Cosmetics</t>
        </is>
      </c>
      <c r="D123" s="5" t="inlineStr">
        <is>
          <t>B2C</t>
        </is>
      </c>
      <c r="E123" s="5" t="inlineStr">
        <is>
          <t>Pinterest</t>
        </is>
      </c>
      <c r="F123" s="5" t="inlineStr">
        <is>
          <t>lumiereskincare.example.com</t>
        </is>
      </c>
      <c r="G123" s="8" t="n">
        <v>1399</v>
      </c>
      <c r="H123" s="8" t="n">
        <v>7428</v>
      </c>
      <c r="I123" s="8" t="n">
        <v>104</v>
      </c>
      <c r="J123" s="9">
        <f>I123/H123</f>
        <v/>
      </c>
      <c r="K123" s="8" t="n">
        <v>90</v>
      </c>
      <c r="L123" s="8" t="n">
        <v>3</v>
      </c>
      <c r="M123" s="5" t="inlineStr">
        <is>
          <t>N/A</t>
        </is>
      </c>
      <c r="N123" s="5" t="inlineStr">
        <is>
          <t>N/A</t>
        </is>
      </c>
      <c r="O123" s="8" t="inlineStr">
        <is>
          <t>N/A</t>
        </is>
      </c>
      <c r="P123" s="5" t="n">
        <v>3</v>
      </c>
      <c r="Q123" s="8">
        <f>IFERROR(G123/L123,0)</f>
        <v/>
      </c>
      <c r="R123" s="8" t="n">
        <v>4072</v>
      </c>
      <c r="S123" s="10">
        <f>IFERROR(R123/G123,0)</f>
        <v/>
      </c>
    </row>
    <row r="124">
      <c r="A124" s="7" t="n">
        <v>46172</v>
      </c>
      <c r="B124" s="5" t="inlineStr">
        <is>
          <t>Lumiere Skincare</t>
        </is>
      </c>
      <c r="C124" s="5" t="inlineStr">
        <is>
          <t>Beauty / Cosmetics</t>
        </is>
      </c>
      <c r="D124" s="5" t="inlineStr">
        <is>
          <t>B2C</t>
        </is>
      </c>
      <c r="E124" s="5" t="inlineStr">
        <is>
          <t>Pinterest</t>
        </is>
      </c>
      <c r="F124" s="5" t="inlineStr">
        <is>
          <t>lumiereskincare.example.com</t>
        </is>
      </c>
      <c r="G124" s="8" t="n">
        <v>1178</v>
      </c>
      <c r="H124" s="8" t="n">
        <v>5867</v>
      </c>
      <c r="I124" s="8" t="n">
        <v>82</v>
      </c>
      <c r="J124" s="9">
        <f>I124/H124</f>
        <v/>
      </c>
      <c r="K124" s="8" t="n">
        <v>72</v>
      </c>
      <c r="L124" s="8" t="n">
        <v>2</v>
      </c>
      <c r="M124" s="5" t="inlineStr">
        <is>
          <t>N/A</t>
        </is>
      </c>
      <c r="N124" s="5" t="inlineStr">
        <is>
          <t>N/A</t>
        </is>
      </c>
      <c r="O124" s="8" t="inlineStr">
        <is>
          <t>N/A</t>
        </is>
      </c>
      <c r="P124" s="5" t="n">
        <v>2</v>
      </c>
      <c r="Q124" s="8">
        <f>IFERROR(G124/L124,0)</f>
        <v/>
      </c>
      <c r="R124" s="8" t="n">
        <v>3216</v>
      </c>
      <c r="S124" s="10">
        <f>IFERROR(R124/G124,0)</f>
        <v/>
      </c>
    </row>
    <row r="125">
      <c r="A125" s="7" t="n">
        <v>46173</v>
      </c>
      <c r="B125" s="5" t="inlineStr">
        <is>
          <t>Lumiere Skincare</t>
        </is>
      </c>
      <c r="C125" s="5" t="inlineStr">
        <is>
          <t>Beauty / Cosmetics</t>
        </is>
      </c>
      <c r="D125" s="5" t="inlineStr">
        <is>
          <t>B2C</t>
        </is>
      </c>
      <c r="E125" s="5" t="inlineStr">
        <is>
          <t>Pinterest</t>
        </is>
      </c>
      <c r="F125" s="5" t="inlineStr">
        <is>
          <t>lumiereskincare.example.com</t>
        </is>
      </c>
      <c r="G125" s="8" t="n">
        <v>1381</v>
      </c>
      <c r="H125" s="8" t="n">
        <v>7479</v>
      </c>
      <c r="I125" s="8" t="n">
        <v>105</v>
      </c>
      <c r="J125" s="9">
        <f>I125/H125</f>
        <v/>
      </c>
      <c r="K125" s="8" t="n">
        <v>100</v>
      </c>
      <c r="L125" s="8" t="n">
        <v>3</v>
      </c>
      <c r="M125" s="5" t="inlineStr">
        <is>
          <t>N/A</t>
        </is>
      </c>
      <c r="N125" s="5" t="inlineStr">
        <is>
          <t>N/A</t>
        </is>
      </c>
      <c r="O125" s="8" t="inlineStr">
        <is>
          <t>N/A</t>
        </is>
      </c>
      <c r="P125" s="5" t="n">
        <v>3</v>
      </c>
      <c r="Q125" s="8">
        <f>IFERROR(G125/L125,0)</f>
        <v/>
      </c>
      <c r="R125" s="8" t="n">
        <v>4099</v>
      </c>
      <c r="S125" s="10">
        <f>IFERROR(R125/G125,0)</f>
        <v/>
      </c>
    </row>
    <row r="126">
      <c r="A126" s="7" t="n">
        <v>46143</v>
      </c>
      <c r="B126" s="5" t="inlineStr">
        <is>
          <t>Solara Fitband</t>
        </is>
      </c>
      <c r="C126" s="5" t="inlineStr">
        <is>
          <t>Consumer Electronics / Wearables</t>
        </is>
      </c>
      <c r="D126" s="5" t="inlineStr">
        <is>
          <t>B2C</t>
        </is>
      </c>
      <c r="E126" s="5" t="inlineStr">
        <is>
          <t>Google Ads</t>
        </is>
      </c>
      <c r="F126" s="5" t="inlineStr">
        <is>
          <t>solarafitband.example.com</t>
        </is>
      </c>
      <c r="G126" s="8" t="n">
        <v>4586</v>
      </c>
      <c r="H126" s="8" t="n">
        <v>4290</v>
      </c>
      <c r="I126" s="8" t="n">
        <v>103</v>
      </c>
      <c r="J126" s="9">
        <f>I126/H126</f>
        <v/>
      </c>
      <c r="K126" s="8" t="n">
        <v>97</v>
      </c>
      <c r="L126" s="8" t="n">
        <v>3</v>
      </c>
      <c r="M126" s="5" t="inlineStr">
        <is>
          <t>N/A</t>
        </is>
      </c>
      <c r="N126" s="5" t="inlineStr">
        <is>
          <t>N/A</t>
        </is>
      </c>
      <c r="O126" s="8" t="inlineStr">
        <is>
          <t>N/A</t>
        </is>
      </c>
      <c r="P126" s="5" t="n">
        <v>3</v>
      </c>
      <c r="Q126" s="8">
        <f>IFERROR(G126/L126,0)</f>
        <v/>
      </c>
      <c r="R126" s="8" t="n">
        <v>15960</v>
      </c>
      <c r="S126" s="10">
        <f>IFERROR(R126/G126,0)</f>
        <v/>
      </c>
    </row>
    <row r="127">
      <c r="A127" s="7" t="n">
        <v>46144</v>
      </c>
      <c r="B127" s="5" t="inlineStr">
        <is>
          <t>Solara Fitband</t>
        </is>
      </c>
      <c r="C127" s="5" t="inlineStr">
        <is>
          <t>Consumer Electronics / Wearables</t>
        </is>
      </c>
      <c r="D127" s="5" t="inlineStr">
        <is>
          <t>B2C</t>
        </is>
      </c>
      <c r="E127" s="5" t="inlineStr">
        <is>
          <t>Google Ads</t>
        </is>
      </c>
      <c r="F127" s="5" t="inlineStr">
        <is>
          <t>solarafitband.example.com</t>
        </is>
      </c>
      <c r="G127" s="8" t="n">
        <v>4861</v>
      </c>
      <c r="H127" s="8" t="n">
        <v>3385</v>
      </c>
      <c r="I127" s="8" t="n">
        <v>81</v>
      </c>
      <c r="J127" s="9">
        <f>I127/H127</f>
        <v/>
      </c>
      <c r="K127" s="8" t="n">
        <v>77</v>
      </c>
      <c r="L127" s="8" t="n">
        <v>2</v>
      </c>
      <c r="M127" s="5" t="inlineStr">
        <is>
          <t>N/A</t>
        </is>
      </c>
      <c r="N127" s="5" t="inlineStr">
        <is>
          <t>N/A</t>
        </is>
      </c>
      <c r="O127" s="8" t="inlineStr">
        <is>
          <t>N/A</t>
        </is>
      </c>
      <c r="P127" s="5" t="n">
        <v>2</v>
      </c>
      <c r="Q127" s="8">
        <f>IFERROR(G127/L127,0)</f>
        <v/>
      </c>
      <c r="R127" s="8" t="n">
        <v>12594</v>
      </c>
      <c r="S127" s="10">
        <f>IFERROR(R127/G127,0)</f>
        <v/>
      </c>
    </row>
    <row r="128">
      <c r="A128" s="7" t="n">
        <v>46145</v>
      </c>
      <c r="B128" s="5" t="inlineStr">
        <is>
          <t>Solara Fitband</t>
        </is>
      </c>
      <c r="C128" s="5" t="inlineStr">
        <is>
          <t>Consumer Electronics / Wearables</t>
        </is>
      </c>
      <c r="D128" s="5" t="inlineStr">
        <is>
          <t>B2C</t>
        </is>
      </c>
      <c r="E128" s="5" t="inlineStr">
        <is>
          <t>Google Ads</t>
        </is>
      </c>
      <c r="F128" s="5" t="inlineStr">
        <is>
          <t>solarafitband.example.com</t>
        </is>
      </c>
      <c r="G128" s="8" t="n">
        <v>5752</v>
      </c>
      <c r="H128" s="8" t="n">
        <v>4963</v>
      </c>
      <c r="I128" s="8" t="n">
        <v>119</v>
      </c>
      <c r="J128" s="9">
        <f>I128/H128</f>
        <v/>
      </c>
      <c r="K128" s="8" t="n">
        <v>103</v>
      </c>
      <c r="L128" s="8" t="n">
        <v>3</v>
      </c>
      <c r="M128" s="5" t="inlineStr">
        <is>
          <t>N/A</t>
        </is>
      </c>
      <c r="N128" s="5" t="inlineStr">
        <is>
          <t>N/A</t>
        </is>
      </c>
      <c r="O128" s="8" t="inlineStr">
        <is>
          <t>N/A</t>
        </is>
      </c>
      <c r="P128" s="5" t="n">
        <v>3</v>
      </c>
      <c r="Q128" s="8">
        <f>IFERROR(G128/L128,0)</f>
        <v/>
      </c>
      <c r="R128" s="8" t="n">
        <v>18462</v>
      </c>
      <c r="S128" s="10">
        <f>IFERROR(R128/G128,0)</f>
        <v/>
      </c>
    </row>
    <row r="129">
      <c r="A129" s="7" t="n">
        <v>46146</v>
      </c>
      <c r="B129" s="5" t="inlineStr">
        <is>
          <t>Solara Fitband</t>
        </is>
      </c>
      <c r="C129" s="5" t="inlineStr">
        <is>
          <t>Consumer Electronics / Wearables</t>
        </is>
      </c>
      <c r="D129" s="5" t="inlineStr">
        <is>
          <t>B2C</t>
        </is>
      </c>
      <c r="E129" s="5" t="inlineStr">
        <is>
          <t>Google Ads</t>
        </is>
      </c>
      <c r="F129" s="5" t="inlineStr">
        <is>
          <t>solarafitband.example.com</t>
        </is>
      </c>
      <c r="G129" s="8" t="n">
        <v>5105</v>
      </c>
      <c r="H129" s="8" t="n">
        <v>4276</v>
      </c>
      <c r="I129" s="8" t="n">
        <v>103</v>
      </c>
      <c r="J129" s="9">
        <f>I129/H129</f>
        <v/>
      </c>
      <c r="K129" s="8" t="n">
        <v>93</v>
      </c>
      <c r="L129" s="8" t="n">
        <v>3</v>
      </c>
      <c r="M129" s="5" t="inlineStr">
        <is>
          <t>N/A</t>
        </is>
      </c>
      <c r="N129" s="5" t="inlineStr">
        <is>
          <t>N/A</t>
        </is>
      </c>
      <c r="O129" s="8" t="inlineStr">
        <is>
          <t>N/A</t>
        </is>
      </c>
      <c r="P129" s="5" t="n">
        <v>3</v>
      </c>
      <c r="Q129" s="8">
        <f>IFERROR(G129/L129,0)</f>
        <v/>
      </c>
      <c r="R129" s="8" t="n">
        <v>15905</v>
      </c>
      <c r="S129" s="10">
        <f>IFERROR(R129/G129,0)</f>
        <v/>
      </c>
    </row>
    <row r="130">
      <c r="A130" s="7" t="n">
        <v>46147</v>
      </c>
      <c r="B130" s="5" t="inlineStr">
        <is>
          <t>Solara Fitband</t>
        </is>
      </c>
      <c r="C130" s="5" t="inlineStr">
        <is>
          <t>Consumer Electronics / Wearables</t>
        </is>
      </c>
      <c r="D130" s="5" t="inlineStr">
        <is>
          <t>B2C</t>
        </is>
      </c>
      <c r="E130" s="5" t="inlineStr">
        <is>
          <t>Google Ads</t>
        </is>
      </c>
      <c r="F130" s="5" t="inlineStr">
        <is>
          <t>solarafitband.example.com</t>
        </is>
      </c>
      <c r="G130" s="8" t="n">
        <v>5506</v>
      </c>
      <c r="H130" s="8" t="n">
        <v>4930</v>
      </c>
      <c r="I130" s="8" t="n">
        <v>118</v>
      </c>
      <c r="J130" s="9">
        <f>I130/H130</f>
        <v/>
      </c>
      <c r="K130" s="8" t="n">
        <v>104</v>
      </c>
      <c r="L130" s="8" t="n">
        <v>3</v>
      </c>
      <c r="M130" s="5" t="inlineStr">
        <is>
          <t>N/A</t>
        </is>
      </c>
      <c r="N130" s="5" t="inlineStr">
        <is>
          <t>N/A</t>
        </is>
      </c>
      <c r="O130" s="8" t="inlineStr">
        <is>
          <t>N/A</t>
        </is>
      </c>
      <c r="P130" s="5" t="n">
        <v>3</v>
      </c>
      <c r="Q130" s="8">
        <f>IFERROR(G130/L130,0)</f>
        <v/>
      </c>
      <c r="R130" s="8" t="n">
        <v>18340</v>
      </c>
      <c r="S130" s="10">
        <f>IFERROR(R130/G130,0)</f>
        <v/>
      </c>
    </row>
    <row r="131">
      <c r="A131" s="7" t="n">
        <v>46148</v>
      </c>
      <c r="B131" s="5" t="inlineStr">
        <is>
          <t>Solara Fitband</t>
        </is>
      </c>
      <c r="C131" s="5" t="inlineStr">
        <is>
          <t>Consumer Electronics / Wearables</t>
        </is>
      </c>
      <c r="D131" s="5" t="inlineStr">
        <is>
          <t>B2C</t>
        </is>
      </c>
      <c r="E131" s="5" t="inlineStr">
        <is>
          <t>Google Ads</t>
        </is>
      </c>
      <c r="F131" s="5" t="inlineStr">
        <is>
          <t>solarafitband.example.com</t>
        </is>
      </c>
      <c r="G131" s="8" t="n">
        <v>5286</v>
      </c>
      <c r="H131" s="8" t="n">
        <v>4540</v>
      </c>
      <c r="I131" s="8" t="n">
        <v>109</v>
      </c>
      <c r="J131" s="9">
        <f>I131/H131</f>
        <v/>
      </c>
      <c r="K131" s="8" t="n">
        <v>95</v>
      </c>
      <c r="L131" s="8" t="n">
        <v>3</v>
      </c>
      <c r="M131" s="5" t="inlineStr">
        <is>
          <t>N/A</t>
        </is>
      </c>
      <c r="N131" s="5" t="inlineStr">
        <is>
          <t>N/A</t>
        </is>
      </c>
      <c r="O131" s="8" t="inlineStr">
        <is>
          <t>N/A</t>
        </is>
      </c>
      <c r="P131" s="5" t="n">
        <v>3</v>
      </c>
      <c r="Q131" s="8">
        <f>IFERROR(G131/L131,0)</f>
        <v/>
      </c>
      <c r="R131" s="8" t="n">
        <v>16890</v>
      </c>
      <c r="S131" s="10">
        <f>IFERROR(R131/G131,0)</f>
        <v/>
      </c>
    </row>
    <row r="132">
      <c r="A132" s="7" t="n">
        <v>46149</v>
      </c>
      <c r="B132" s="5" t="inlineStr">
        <is>
          <t>Solara Fitband</t>
        </is>
      </c>
      <c r="C132" s="5" t="inlineStr">
        <is>
          <t>Consumer Electronics / Wearables</t>
        </is>
      </c>
      <c r="D132" s="5" t="inlineStr">
        <is>
          <t>B2C</t>
        </is>
      </c>
      <c r="E132" s="5" t="inlineStr">
        <is>
          <t>Google Ads</t>
        </is>
      </c>
      <c r="F132" s="5" t="inlineStr">
        <is>
          <t>solarafitband.example.com</t>
        </is>
      </c>
      <c r="G132" s="8" t="n">
        <v>5162</v>
      </c>
      <c r="H132" s="8" t="n">
        <v>3666</v>
      </c>
      <c r="I132" s="8" t="n">
        <v>88</v>
      </c>
      <c r="J132" s="9">
        <f>I132/H132</f>
        <v/>
      </c>
      <c r="K132" s="8" t="n">
        <v>80</v>
      </c>
      <c r="L132" s="8" t="n">
        <v>2</v>
      </c>
      <c r="M132" s="5" t="inlineStr">
        <is>
          <t>N/A</t>
        </is>
      </c>
      <c r="N132" s="5" t="inlineStr">
        <is>
          <t>N/A</t>
        </is>
      </c>
      <c r="O132" s="8" t="inlineStr">
        <is>
          <t>N/A</t>
        </is>
      </c>
      <c r="P132" s="5" t="n">
        <v>2</v>
      </c>
      <c r="Q132" s="8">
        <f>IFERROR(G132/L132,0)</f>
        <v/>
      </c>
      <c r="R132" s="8" t="n">
        <v>13637</v>
      </c>
      <c r="S132" s="10">
        <f>IFERROR(R132/G132,0)</f>
        <v/>
      </c>
    </row>
    <row r="133">
      <c r="A133" s="7" t="n">
        <v>46150</v>
      </c>
      <c r="B133" s="5" t="inlineStr">
        <is>
          <t>Solara Fitband</t>
        </is>
      </c>
      <c r="C133" s="5" t="inlineStr">
        <is>
          <t>Consumer Electronics / Wearables</t>
        </is>
      </c>
      <c r="D133" s="5" t="inlineStr">
        <is>
          <t>B2C</t>
        </is>
      </c>
      <c r="E133" s="5" t="inlineStr">
        <is>
          <t>Google Ads</t>
        </is>
      </c>
      <c r="F133" s="5" t="inlineStr">
        <is>
          <t>solarafitband.example.com</t>
        </is>
      </c>
      <c r="G133" s="8" t="n">
        <v>5696</v>
      </c>
      <c r="H133" s="8" t="n">
        <v>4158</v>
      </c>
      <c r="I133" s="8" t="n">
        <v>100</v>
      </c>
      <c r="J133" s="9">
        <f>I133/H133</f>
        <v/>
      </c>
      <c r="K133" s="8" t="n">
        <v>89</v>
      </c>
      <c r="L133" s="8" t="n">
        <v>2</v>
      </c>
      <c r="M133" s="5" t="inlineStr">
        <is>
          <t>N/A</t>
        </is>
      </c>
      <c r="N133" s="5" t="inlineStr">
        <is>
          <t>N/A</t>
        </is>
      </c>
      <c r="O133" s="8" t="inlineStr">
        <is>
          <t>N/A</t>
        </is>
      </c>
      <c r="P133" s="5" t="n">
        <v>2</v>
      </c>
      <c r="Q133" s="8">
        <f>IFERROR(G133/L133,0)</f>
        <v/>
      </c>
      <c r="R133" s="8" t="n">
        <v>15467</v>
      </c>
      <c r="S133" s="10">
        <f>IFERROR(R133/G133,0)</f>
        <v/>
      </c>
    </row>
    <row r="134">
      <c r="A134" s="7" t="n">
        <v>46151</v>
      </c>
      <c r="B134" s="5" t="inlineStr">
        <is>
          <t>Solara Fitband</t>
        </is>
      </c>
      <c r="C134" s="5" t="inlineStr">
        <is>
          <t>Consumer Electronics / Wearables</t>
        </is>
      </c>
      <c r="D134" s="5" t="inlineStr">
        <is>
          <t>B2C</t>
        </is>
      </c>
      <c r="E134" s="5" t="inlineStr">
        <is>
          <t>Google Ads</t>
        </is>
      </c>
      <c r="F134" s="5" t="inlineStr">
        <is>
          <t>solarafitband.example.com</t>
        </is>
      </c>
      <c r="G134" s="8" t="n">
        <v>5114</v>
      </c>
      <c r="H134" s="8" t="n">
        <v>4415</v>
      </c>
      <c r="I134" s="8" t="n">
        <v>106</v>
      </c>
      <c r="J134" s="9">
        <f>I134/H134</f>
        <v/>
      </c>
      <c r="K134" s="8" t="n">
        <v>101</v>
      </c>
      <c r="L134" s="8" t="n">
        <v>3</v>
      </c>
      <c r="M134" s="5" t="inlineStr">
        <is>
          <t>N/A</t>
        </is>
      </c>
      <c r="N134" s="5" t="inlineStr">
        <is>
          <t>N/A</t>
        </is>
      </c>
      <c r="O134" s="8" t="inlineStr">
        <is>
          <t>N/A</t>
        </is>
      </c>
      <c r="P134" s="5" t="n">
        <v>3</v>
      </c>
      <c r="Q134" s="8">
        <f>IFERROR(G134/L134,0)</f>
        <v/>
      </c>
      <c r="R134" s="8" t="n">
        <v>16422</v>
      </c>
      <c r="S134" s="10">
        <f>IFERROR(R134/G134,0)</f>
        <v/>
      </c>
    </row>
    <row r="135">
      <c r="A135" s="7" t="n">
        <v>46152</v>
      </c>
      <c r="B135" s="5" t="inlineStr">
        <is>
          <t>Solara Fitband</t>
        </is>
      </c>
      <c r="C135" s="5" t="inlineStr">
        <is>
          <t>Consumer Electronics / Wearables</t>
        </is>
      </c>
      <c r="D135" s="5" t="inlineStr">
        <is>
          <t>B2C</t>
        </is>
      </c>
      <c r="E135" s="5" t="inlineStr">
        <is>
          <t>Google Ads</t>
        </is>
      </c>
      <c r="F135" s="5" t="inlineStr">
        <is>
          <t>solarafitband.example.com</t>
        </is>
      </c>
      <c r="G135" s="8" t="n">
        <v>4552</v>
      </c>
      <c r="H135" s="8" t="n">
        <v>4399</v>
      </c>
      <c r="I135" s="8" t="n">
        <v>106</v>
      </c>
      <c r="J135" s="9">
        <f>I135/H135</f>
        <v/>
      </c>
      <c r="K135" s="8" t="n">
        <v>102</v>
      </c>
      <c r="L135" s="8" t="n">
        <v>3</v>
      </c>
      <c r="M135" s="5" t="inlineStr">
        <is>
          <t>N/A</t>
        </is>
      </c>
      <c r="N135" s="5" t="inlineStr">
        <is>
          <t>N/A</t>
        </is>
      </c>
      <c r="O135" s="8" t="inlineStr">
        <is>
          <t>N/A</t>
        </is>
      </c>
      <c r="P135" s="5" t="n">
        <v>3</v>
      </c>
      <c r="Q135" s="8">
        <f>IFERROR(G135/L135,0)</f>
        <v/>
      </c>
      <c r="R135" s="8" t="n">
        <v>16364</v>
      </c>
      <c r="S135" s="10">
        <f>IFERROR(R135/G135,0)</f>
        <v/>
      </c>
    </row>
    <row r="136">
      <c r="A136" s="7" t="n">
        <v>46153</v>
      </c>
      <c r="B136" s="5" t="inlineStr">
        <is>
          <t>Solara Fitband</t>
        </is>
      </c>
      <c r="C136" s="5" t="inlineStr">
        <is>
          <t>Consumer Electronics / Wearables</t>
        </is>
      </c>
      <c r="D136" s="5" t="inlineStr">
        <is>
          <t>B2C</t>
        </is>
      </c>
      <c r="E136" s="5" t="inlineStr">
        <is>
          <t>Google Ads</t>
        </is>
      </c>
      <c r="F136" s="5" t="inlineStr">
        <is>
          <t>solarafitband.example.com</t>
        </is>
      </c>
      <c r="G136" s="8" t="n">
        <v>4908</v>
      </c>
      <c r="H136" s="8" t="n">
        <v>3100</v>
      </c>
      <c r="I136" s="8" t="n">
        <v>74</v>
      </c>
      <c r="J136" s="9">
        <f>I136/H136</f>
        <v/>
      </c>
      <c r="K136" s="8" t="n">
        <v>71</v>
      </c>
      <c r="L136" s="8" t="n">
        <v>2</v>
      </c>
      <c r="M136" s="5" t="inlineStr">
        <is>
          <t>N/A</t>
        </is>
      </c>
      <c r="N136" s="5" t="inlineStr">
        <is>
          <t>N/A</t>
        </is>
      </c>
      <c r="O136" s="8" t="inlineStr">
        <is>
          <t>N/A</t>
        </is>
      </c>
      <c r="P136" s="5" t="n">
        <v>2</v>
      </c>
      <c r="Q136" s="8">
        <f>IFERROR(G136/L136,0)</f>
        <v/>
      </c>
      <c r="R136" s="8" t="n">
        <v>11532</v>
      </c>
      <c r="S136" s="10">
        <f>IFERROR(R136/G136,0)</f>
        <v/>
      </c>
    </row>
    <row r="137">
      <c r="A137" s="7" t="n">
        <v>46154</v>
      </c>
      <c r="B137" s="5" t="inlineStr">
        <is>
          <t>Solara Fitband</t>
        </is>
      </c>
      <c r="C137" s="5" t="inlineStr">
        <is>
          <t>Consumer Electronics / Wearables</t>
        </is>
      </c>
      <c r="D137" s="5" t="inlineStr">
        <is>
          <t>B2C</t>
        </is>
      </c>
      <c r="E137" s="5" t="inlineStr">
        <is>
          <t>Google Ads</t>
        </is>
      </c>
      <c r="F137" s="5" t="inlineStr">
        <is>
          <t>solarafitband.example.com</t>
        </is>
      </c>
      <c r="G137" s="8" t="n">
        <v>5401</v>
      </c>
      <c r="H137" s="8" t="n">
        <v>4838</v>
      </c>
      <c r="I137" s="8" t="n">
        <v>116</v>
      </c>
      <c r="J137" s="9">
        <f>I137/H137</f>
        <v/>
      </c>
      <c r="K137" s="8" t="n">
        <v>103</v>
      </c>
      <c r="L137" s="8" t="n">
        <v>3</v>
      </c>
      <c r="M137" s="5" t="inlineStr">
        <is>
          <t>N/A</t>
        </is>
      </c>
      <c r="N137" s="5" t="inlineStr">
        <is>
          <t>N/A</t>
        </is>
      </c>
      <c r="O137" s="8" t="inlineStr">
        <is>
          <t>N/A</t>
        </is>
      </c>
      <c r="P137" s="5" t="n">
        <v>3</v>
      </c>
      <c r="Q137" s="8">
        <f>IFERROR(G137/L137,0)</f>
        <v/>
      </c>
      <c r="R137" s="8" t="n">
        <v>17999</v>
      </c>
      <c r="S137" s="10">
        <f>IFERROR(R137/G137,0)</f>
        <v/>
      </c>
    </row>
    <row r="138">
      <c r="A138" s="7" t="n">
        <v>46155</v>
      </c>
      <c r="B138" s="5" t="inlineStr">
        <is>
          <t>Solara Fitband</t>
        </is>
      </c>
      <c r="C138" s="5" t="inlineStr">
        <is>
          <t>Consumer Electronics / Wearables</t>
        </is>
      </c>
      <c r="D138" s="5" t="inlineStr">
        <is>
          <t>B2C</t>
        </is>
      </c>
      <c r="E138" s="5" t="inlineStr">
        <is>
          <t>Google Ads</t>
        </is>
      </c>
      <c r="F138" s="5" t="inlineStr">
        <is>
          <t>solarafitband.example.com</t>
        </is>
      </c>
      <c r="G138" s="8" t="n">
        <v>5344</v>
      </c>
      <c r="H138" s="8" t="n">
        <v>5253</v>
      </c>
      <c r="I138" s="8" t="n">
        <v>126</v>
      </c>
      <c r="J138" s="9">
        <f>I138/H138</f>
        <v/>
      </c>
      <c r="K138" s="8" t="n">
        <v>112</v>
      </c>
      <c r="L138" s="8" t="n">
        <v>3</v>
      </c>
      <c r="M138" s="5" t="inlineStr">
        <is>
          <t>N/A</t>
        </is>
      </c>
      <c r="N138" s="5" t="inlineStr">
        <is>
          <t>N/A</t>
        </is>
      </c>
      <c r="O138" s="8" t="inlineStr">
        <is>
          <t>N/A</t>
        </is>
      </c>
      <c r="P138" s="5" t="n">
        <v>3</v>
      </c>
      <c r="Q138" s="8">
        <f>IFERROR(G138/L138,0)</f>
        <v/>
      </c>
      <c r="R138" s="8" t="n">
        <v>19542</v>
      </c>
      <c r="S138" s="10">
        <f>IFERROR(R138/G138,0)</f>
        <v/>
      </c>
    </row>
    <row r="139">
      <c r="A139" s="7" t="n">
        <v>46156</v>
      </c>
      <c r="B139" s="5" t="inlineStr">
        <is>
          <t>Solara Fitband</t>
        </is>
      </c>
      <c r="C139" s="5" t="inlineStr">
        <is>
          <t>Consumer Electronics / Wearables</t>
        </is>
      </c>
      <c r="D139" s="5" t="inlineStr">
        <is>
          <t>B2C</t>
        </is>
      </c>
      <c r="E139" s="5" t="inlineStr">
        <is>
          <t>Google Ads</t>
        </is>
      </c>
      <c r="F139" s="5" t="inlineStr">
        <is>
          <t>solarafitband.example.com</t>
        </is>
      </c>
      <c r="G139" s="8" t="n">
        <v>4630</v>
      </c>
      <c r="H139" s="8" t="n">
        <v>3909</v>
      </c>
      <c r="I139" s="8" t="n">
        <v>94</v>
      </c>
      <c r="J139" s="9">
        <f>I139/H139</f>
        <v/>
      </c>
      <c r="K139" s="8" t="n">
        <v>83</v>
      </c>
      <c r="L139" s="8" t="n">
        <v>2</v>
      </c>
      <c r="M139" s="5" t="inlineStr">
        <is>
          <t>N/A</t>
        </is>
      </c>
      <c r="N139" s="5" t="inlineStr">
        <is>
          <t>N/A</t>
        </is>
      </c>
      <c r="O139" s="8" t="inlineStr">
        <is>
          <t>N/A</t>
        </is>
      </c>
      <c r="P139" s="5" t="n">
        <v>2</v>
      </c>
      <c r="Q139" s="8">
        <f>IFERROR(G139/L139,0)</f>
        <v/>
      </c>
      <c r="R139" s="8" t="n">
        <v>14543</v>
      </c>
      <c r="S139" s="10">
        <f>IFERROR(R139/G139,0)</f>
        <v/>
      </c>
    </row>
    <row r="140">
      <c r="A140" s="7" t="n">
        <v>46157</v>
      </c>
      <c r="B140" s="5" t="inlineStr">
        <is>
          <t>Solara Fitband</t>
        </is>
      </c>
      <c r="C140" s="5" t="inlineStr">
        <is>
          <t>Consumer Electronics / Wearables</t>
        </is>
      </c>
      <c r="D140" s="5" t="inlineStr">
        <is>
          <t>B2C</t>
        </is>
      </c>
      <c r="E140" s="5" t="inlineStr">
        <is>
          <t>Google Ads</t>
        </is>
      </c>
      <c r="F140" s="5" t="inlineStr">
        <is>
          <t>solarafitband.example.com</t>
        </is>
      </c>
      <c r="G140" s="8" t="n">
        <v>4936</v>
      </c>
      <c r="H140" s="8" t="n">
        <v>4527</v>
      </c>
      <c r="I140" s="8" t="n">
        <v>109</v>
      </c>
      <c r="J140" s="9">
        <f>I140/H140</f>
        <v/>
      </c>
      <c r="K140" s="8" t="n">
        <v>94</v>
      </c>
      <c r="L140" s="8" t="n">
        <v>3</v>
      </c>
      <c r="M140" s="5" t="inlineStr">
        <is>
          <t>N/A</t>
        </is>
      </c>
      <c r="N140" s="5" t="inlineStr">
        <is>
          <t>N/A</t>
        </is>
      </c>
      <c r="O140" s="8" t="inlineStr">
        <is>
          <t>N/A</t>
        </is>
      </c>
      <c r="P140" s="5" t="n">
        <v>3</v>
      </c>
      <c r="Q140" s="8">
        <f>IFERROR(G140/L140,0)</f>
        <v/>
      </c>
      <c r="R140" s="8" t="n">
        <v>16839</v>
      </c>
      <c r="S140" s="10">
        <f>IFERROR(R140/G140,0)</f>
        <v/>
      </c>
    </row>
    <row r="141">
      <c r="A141" s="7" t="n">
        <v>46158</v>
      </c>
      <c r="B141" s="5" t="inlineStr">
        <is>
          <t>Solara Fitband</t>
        </is>
      </c>
      <c r="C141" s="5" t="inlineStr">
        <is>
          <t>Consumer Electronics / Wearables</t>
        </is>
      </c>
      <c r="D141" s="5" t="inlineStr">
        <is>
          <t>B2C</t>
        </is>
      </c>
      <c r="E141" s="5" t="inlineStr">
        <is>
          <t>Google Ads</t>
        </is>
      </c>
      <c r="F141" s="5" t="inlineStr">
        <is>
          <t>solarafitband.example.com</t>
        </is>
      </c>
      <c r="G141" s="8" t="n">
        <v>4988</v>
      </c>
      <c r="H141" s="8" t="n">
        <v>3929</v>
      </c>
      <c r="I141" s="8" t="n">
        <v>94</v>
      </c>
      <c r="J141" s="9">
        <f>I141/H141</f>
        <v/>
      </c>
      <c r="K141" s="8" t="n">
        <v>92</v>
      </c>
      <c r="L141" s="8" t="n">
        <v>2</v>
      </c>
      <c r="M141" s="5" t="inlineStr">
        <is>
          <t>N/A</t>
        </is>
      </c>
      <c r="N141" s="5" t="inlineStr">
        <is>
          <t>N/A</t>
        </is>
      </c>
      <c r="O141" s="8" t="inlineStr">
        <is>
          <t>N/A</t>
        </is>
      </c>
      <c r="P141" s="5" t="n">
        <v>2</v>
      </c>
      <c r="Q141" s="8">
        <f>IFERROR(G141/L141,0)</f>
        <v/>
      </c>
      <c r="R141" s="8" t="n">
        <v>14616</v>
      </c>
      <c r="S141" s="10">
        <f>IFERROR(R141/G141,0)</f>
        <v/>
      </c>
    </row>
    <row r="142">
      <c r="A142" s="7" t="n">
        <v>46159</v>
      </c>
      <c r="B142" s="5" t="inlineStr">
        <is>
          <t>Solara Fitband</t>
        </is>
      </c>
      <c r="C142" s="5" t="inlineStr">
        <is>
          <t>Consumer Electronics / Wearables</t>
        </is>
      </c>
      <c r="D142" s="5" t="inlineStr">
        <is>
          <t>B2C</t>
        </is>
      </c>
      <c r="E142" s="5" t="inlineStr">
        <is>
          <t>Google Ads</t>
        </is>
      </c>
      <c r="F142" s="5" t="inlineStr">
        <is>
          <t>solarafitband.example.com</t>
        </is>
      </c>
      <c r="G142" s="8" t="n">
        <v>5067</v>
      </c>
      <c r="H142" s="8" t="n">
        <v>4296</v>
      </c>
      <c r="I142" s="8" t="n">
        <v>103</v>
      </c>
      <c r="J142" s="9">
        <f>I142/H142</f>
        <v/>
      </c>
      <c r="K142" s="8" t="n">
        <v>93</v>
      </c>
      <c r="L142" s="8" t="n">
        <v>3</v>
      </c>
      <c r="M142" s="5" t="inlineStr">
        <is>
          <t>N/A</t>
        </is>
      </c>
      <c r="N142" s="5" t="inlineStr">
        <is>
          <t>N/A</t>
        </is>
      </c>
      <c r="O142" s="8" t="inlineStr">
        <is>
          <t>N/A</t>
        </is>
      </c>
      <c r="P142" s="5" t="n">
        <v>3</v>
      </c>
      <c r="Q142" s="8">
        <f>IFERROR(G142/L142,0)</f>
        <v/>
      </c>
      <c r="R142" s="8" t="n">
        <v>15982</v>
      </c>
      <c r="S142" s="10">
        <f>IFERROR(R142/G142,0)</f>
        <v/>
      </c>
    </row>
    <row r="143">
      <c r="A143" s="7" t="n">
        <v>46160</v>
      </c>
      <c r="B143" s="5" t="inlineStr">
        <is>
          <t>Solara Fitband</t>
        </is>
      </c>
      <c r="C143" s="5" t="inlineStr">
        <is>
          <t>Consumer Electronics / Wearables</t>
        </is>
      </c>
      <c r="D143" s="5" t="inlineStr">
        <is>
          <t>B2C</t>
        </is>
      </c>
      <c r="E143" s="5" t="inlineStr">
        <is>
          <t>Google Ads</t>
        </is>
      </c>
      <c r="F143" s="5" t="inlineStr">
        <is>
          <t>solarafitband.example.com</t>
        </is>
      </c>
      <c r="G143" s="8" t="n">
        <v>4699</v>
      </c>
      <c r="H143" s="8" t="n">
        <v>3256</v>
      </c>
      <c r="I143" s="8" t="n">
        <v>78</v>
      </c>
      <c r="J143" s="9">
        <f>I143/H143</f>
        <v/>
      </c>
      <c r="K143" s="8" t="n">
        <v>69</v>
      </c>
      <c r="L143" s="8" t="n">
        <v>2</v>
      </c>
      <c r="M143" s="5" t="inlineStr">
        <is>
          <t>N/A</t>
        </is>
      </c>
      <c r="N143" s="5" t="inlineStr">
        <is>
          <t>N/A</t>
        </is>
      </c>
      <c r="O143" s="8" t="inlineStr">
        <is>
          <t>N/A</t>
        </is>
      </c>
      <c r="P143" s="5" t="n">
        <v>2</v>
      </c>
      <c r="Q143" s="8">
        <f>IFERROR(G143/L143,0)</f>
        <v/>
      </c>
      <c r="R143" s="8" t="n">
        <v>12112</v>
      </c>
      <c r="S143" s="10">
        <f>IFERROR(R143/G143,0)</f>
        <v/>
      </c>
    </row>
    <row r="144">
      <c r="A144" s="7" t="n">
        <v>46161</v>
      </c>
      <c r="B144" s="5" t="inlineStr">
        <is>
          <t>Solara Fitband</t>
        </is>
      </c>
      <c r="C144" s="5" t="inlineStr">
        <is>
          <t>Consumer Electronics / Wearables</t>
        </is>
      </c>
      <c r="D144" s="5" t="inlineStr">
        <is>
          <t>B2C</t>
        </is>
      </c>
      <c r="E144" s="5" t="inlineStr">
        <is>
          <t>Google Ads</t>
        </is>
      </c>
      <c r="F144" s="5" t="inlineStr">
        <is>
          <t>solarafitband.example.com</t>
        </is>
      </c>
      <c r="G144" s="8" t="n">
        <v>4971</v>
      </c>
      <c r="H144" s="8" t="n">
        <v>3073</v>
      </c>
      <c r="I144" s="8" t="n">
        <v>74</v>
      </c>
      <c r="J144" s="9">
        <f>I144/H144</f>
        <v/>
      </c>
      <c r="K144" s="8" t="n">
        <v>71</v>
      </c>
      <c r="L144" s="8" t="n">
        <v>2</v>
      </c>
      <c r="M144" s="5" t="inlineStr">
        <is>
          <t>N/A</t>
        </is>
      </c>
      <c r="N144" s="5" t="inlineStr">
        <is>
          <t>N/A</t>
        </is>
      </c>
      <c r="O144" s="8" t="inlineStr">
        <is>
          <t>N/A</t>
        </is>
      </c>
      <c r="P144" s="5" t="n">
        <v>2</v>
      </c>
      <c r="Q144" s="8">
        <f>IFERROR(G144/L144,0)</f>
        <v/>
      </c>
      <c r="R144" s="8" t="n">
        <v>11433</v>
      </c>
      <c r="S144" s="10">
        <f>IFERROR(R144/G144,0)</f>
        <v/>
      </c>
    </row>
    <row r="145">
      <c r="A145" s="7" t="n">
        <v>46162</v>
      </c>
      <c r="B145" s="5" t="inlineStr">
        <is>
          <t>Solara Fitband</t>
        </is>
      </c>
      <c r="C145" s="5" t="inlineStr">
        <is>
          <t>Consumer Electronics / Wearables</t>
        </is>
      </c>
      <c r="D145" s="5" t="inlineStr">
        <is>
          <t>B2C</t>
        </is>
      </c>
      <c r="E145" s="5" t="inlineStr">
        <is>
          <t>Google Ads</t>
        </is>
      </c>
      <c r="F145" s="5" t="inlineStr">
        <is>
          <t>solarafitband.example.com</t>
        </is>
      </c>
      <c r="G145" s="8" t="n">
        <v>4935</v>
      </c>
      <c r="H145" s="8" t="n">
        <v>4725</v>
      </c>
      <c r="I145" s="8" t="n">
        <v>113</v>
      </c>
      <c r="J145" s="9">
        <f>I145/H145</f>
        <v/>
      </c>
      <c r="K145" s="8" t="n">
        <v>102</v>
      </c>
      <c r="L145" s="8" t="n">
        <v>3</v>
      </c>
      <c r="M145" s="5" t="inlineStr">
        <is>
          <t>N/A</t>
        </is>
      </c>
      <c r="N145" s="5" t="inlineStr">
        <is>
          <t>N/A</t>
        </is>
      </c>
      <c r="O145" s="8" t="inlineStr">
        <is>
          <t>N/A</t>
        </is>
      </c>
      <c r="P145" s="5" t="n">
        <v>3</v>
      </c>
      <c r="Q145" s="8">
        <f>IFERROR(G145/L145,0)</f>
        <v/>
      </c>
      <c r="R145" s="8" t="n">
        <v>17578</v>
      </c>
      <c r="S145" s="10">
        <f>IFERROR(R145/G145,0)</f>
        <v/>
      </c>
    </row>
    <row r="146">
      <c r="A146" s="7" t="n">
        <v>46163</v>
      </c>
      <c r="B146" s="5" t="inlineStr">
        <is>
          <t>Solara Fitband</t>
        </is>
      </c>
      <c r="C146" s="5" t="inlineStr">
        <is>
          <t>Consumer Electronics / Wearables</t>
        </is>
      </c>
      <c r="D146" s="5" t="inlineStr">
        <is>
          <t>B2C</t>
        </is>
      </c>
      <c r="E146" s="5" t="inlineStr">
        <is>
          <t>Google Ads</t>
        </is>
      </c>
      <c r="F146" s="5" t="inlineStr">
        <is>
          <t>solarafitband.example.com</t>
        </is>
      </c>
      <c r="G146" s="8" t="n">
        <v>5481</v>
      </c>
      <c r="H146" s="8" t="n">
        <v>4157</v>
      </c>
      <c r="I146" s="8" t="n">
        <v>100</v>
      </c>
      <c r="J146" s="9">
        <f>I146/H146</f>
        <v/>
      </c>
      <c r="K146" s="8" t="n">
        <v>85</v>
      </c>
      <c r="L146" s="8" t="n">
        <v>2</v>
      </c>
      <c r="M146" s="5" t="inlineStr">
        <is>
          <t>N/A</t>
        </is>
      </c>
      <c r="N146" s="5" t="inlineStr">
        <is>
          <t>N/A</t>
        </is>
      </c>
      <c r="O146" s="8" t="inlineStr">
        <is>
          <t>N/A</t>
        </is>
      </c>
      <c r="P146" s="5" t="n">
        <v>2</v>
      </c>
      <c r="Q146" s="8">
        <f>IFERROR(G146/L146,0)</f>
        <v/>
      </c>
      <c r="R146" s="8" t="n">
        <v>15466</v>
      </c>
      <c r="S146" s="10">
        <f>IFERROR(R146/G146,0)</f>
        <v/>
      </c>
    </row>
    <row r="147">
      <c r="A147" s="7" t="n">
        <v>46164</v>
      </c>
      <c r="B147" s="5" t="inlineStr">
        <is>
          <t>Solara Fitband</t>
        </is>
      </c>
      <c r="C147" s="5" t="inlineStr">
        <is>
          <t>Consumer Electronics / Wearables</t>
        </is>
      </c>
      <c r="D147" s="5" t="inlineStr">
        <is>
          <t>B2C</t>
        </is>
      </c>
      <c r="E147" s="5" t="inlineStr">
        <is>
          <t>Google Ads</t>
        </is>
      </c>
      <c r="F147" s="5" t="inlineStr">
        <is>
          <t>solarafitband.example.com</t>
        </is>
      </c>
      <c r="G147" s="8" t="n">
        <v>5495</v>
      </c>
      <c r="H147" s="8" t="n">
        <v>4468</v>
      </c>
      <c r="I147" s="8" t="n">
        <v>107</v>
      </c>
      <c r="J147" s="9">
        <f>I147/H147</f>
        <v/>
      </c>
      <c r="K147" s="8" t="n">
        <v>93</v>
      </c>
      <c r="L147" s="8" t="n">
        <v>3</v>
      </c>
      <c r="M147" s="5" t="inlineStr">
        <is>
          <t>N/A</t>
        </is>
      </c>
      <c r="N147" s="5" t="inlineStr">
        <is>
          <t>N/A</t>
        </is>
      </c>
      <c r="O147" s="8" t="inlineStr">
        <is>
          <t>N/A</t>
        </is>
      </c>
      <c r="P147" s="5" t="n">
        <v>3</v>
      </c>
      <c r="Q147" s="8">
        <f>IFERROR(G147/L147,0)</f>
        <v/>
      </c>
      <c r="R147" s="8" t="n">
        <v>16621</v>
      </c>
      <c r="S147" s="10">
        <f>IFERROR(R147/G147,0)</f>
        <v/>
      </c>
    </row>
    <row r="148">
      <c r="A148" s="7" t="n">
        <v>46165</v>
      </c>
      <c r="B148" s="5" t="inlineStr">
        <is>
          <t>Solara Fitband</t>
        </is>
      </c>
      <c r="C148" s="5" t="inlineStr">
        <is>
          <t>Consumer Electronics / Wearables</t>
        </is>
      </c>
      <c r="D148" s="5" t="inlineStr">
        <is>
          <t>B2C</t>
        </is>
      </c>
      <c r="E148" s="5" t="inlineStr">
        <is>
          <t>Google Ads</t>
        </is>
      </c>
      <c r="F148" s="5" t="inlineStr">
        <is>
          <t>solarafitband.example.com</t>
        </is>
      </c>
      <c r="G148" s="8" t="n">
        <v>5147</v>
      </c>
      <c r="H148" s="8" t="n">
        <v>3691</v>
      </c>
      <c r="I148" s="8" t="n">
        <v>89</v>
      </c>
      <c r="J148" s="9">
        <f>I148/H148</f>
        <v/>
      </c>
      <c r="K148" s="8" t="n">
        <v>83</v>
      </c>
      <c r="L148" s="8" t="n">
        <v>2</v>
      </c>
      <c r="M148" s="5" t="inlineStr">
        <is>
          <t>N/A</t>
        </is>
      </c>
      <c r="N148" s="5" t="inlineStr">
        <is>
          <t>N/A</t>
        </is>
      </c>
      <c r="O148" s="8" t="inlineStr">
        <is>
          <t>N/A</t>
        </is>
      </c>
      <c r="P148" s="5" t="n">
        <v>2</v>
      </c>
      <c r="Q148" s="8">
        <f>IFERROR(G148/L148,0)</f>
        <v/>
      </c>
      <c r="R148" s="8" t="n">
        <v>13730</v>
      </c>
      <c r="S148" s="10">
        <f>IFERROR(R148/G148,0)</f>
        <v/>
      </c>
    </row>
    <row r="149">
      <c r="A149" s="7" t="n">
        <v>46166</v>
      </c>
      <c r="B149" s="5" t="inlineStr">
        <is>
          <t>Solara Fitband</t>
        </is>
      </c>
      <c r="C149" s="5" t="inlineStr">
        <is>
          <t>Consumer Electronics / Wearables</t>
        </is>
      </c>
      <c r="D149" s="5" t="inlineStr">
        <is>
          <t>B2C</t>
        </is>
      </c>
      <c r="E149" s="5" t="inlineStr">
        <is>
          <t>Google Ads</t>
        </is>
      </c>
      <c r="F149" s="5" t="inlineStr">
        <is>
          <t>solarafitband.example.com</t>
        </is>
      </c>
      <c r="G149" s="8" t="n">
        <v>5057</v>
      </c>
      <c r="H149" s="8" t="n">
        <v>3614</v>
      </c>
      <c r="I149" s="8" t="n">
        <v>87</v>
      </c>
      <c r="J149" s="9">
        <f>I149/H149</f>
        <v/>
      </c>
      <c r="K149" s="8" t="n">
        <v>83</v>
      </c>
      <c r="L149" s="8" t="n">
        <v>2</v>
      </c>
      <c r="M149" s="5" t="inlineStr">
        <is>
          <t>N/A</t>
        </is>
      </c>
      <c r="N149" s="5" t="inlineStr">
        <is>
          <t>N/A</t>
        </is>
      </c>
      <c r="O149" s="8" t="inlineStr">
        <is>
          <t>N/A</t>
        </is>
      </c>
      <c r="P149" s="5" t="n">
        <v>2</v>
      </c>
      <c r="Q149" s="8">
        <f>IFERROR(G149/L149,0)</f>
        <v/>
      </c>
      <c r="R149" s="8" t="n">
        <v>13445</v>
      </c>
      <c r="S149" s="10">
        <f>IFERROR(R149/G149,0)</f>
        <v/>
      </c>
    </row>
    <row r="150">
      <c r="A150" s="7" t="n">
        <v>46167</v>
      </c>
      <c r="B150" s="5" t="inlineStr">
        <is>
          <t>Solara Fitband</t>
        </is>
      </c>
      <c r="C150" s="5" t="inlineStr">
        <is>
          <t>Consumer Electronics / Wearables</t>
        </is>
      </c>
      <c r="D150" s="5" t="inlineStr">
        <is>
          <t>B2C</t>
        </is>
      </c>
      <c r="E150" s="5" t="inlineStr">
        <is>
          <t>Google Ads</t>
        </is>
      </c>
      <c r="F150" s="5" t="inlineStr">
        <is>
          <t>solarafitband.example.com</t>
        </is>
      </c>
      <c r="G150" s="8" t="n">
        <v>5251</v>
      </c>
      <c r="H150" s="8" t="n">
        <v>4423</v>
      </c>
      <c r="I150" s="8" t="n">
        <v>106</v>
      </c>
      <c r="J150" s="9">
        <f>I150/H150</f>
        <v/>
      </c>
      <c r="K150" s="8" t="n">
        <v>93</v>
      </c>
      <c r="L150" s="8" t="n">
        <v>3</v>
      </c>
      <c r="M150" s="5" t="inlineStr">
        <is>
          <t>N/A</t>
        </is>
      </c>
      <c r="N150" s="5" t="inlineStr">
        <is>
          <t>N/A</t>
        </is>
      </c>
      <c r="O150" s="8" t="inlineStr">
        <is>
          <t>N/A</t>
        </is>
      </c>
      <c r="P150" s="5" t="n">
        <v>3</v>
      </c>
      <c r="Q150" s="8">
        <f>IFERROR(G150/L150,0)</f>
        <v/>
      </c>
      <c r="R150" s="8" t="n">
        <v>16452</v>
      </c>
      <c r="S150" s="10">
        <f>IFERROR(R150/G150,0)</f>
        <v/>
      </c>
    </row>
    <row r="151">
      <c r="A151" s="7" t="n">
        <v>46168</v>
      </c>
      <c r="B151" s="5" t="inlineStr">
        <is>
          <t>Solara Fitband</t>
        </is>
      </c>
      <c r="C151" s="5" t="inlineStr">
        <is>
          <t>Consumer Electronics / Wearables</t>
        </is>
      </c>
      <c r="D151" s="5" t="inlineStr">
        <is>
          <t>B2C</t>
        </is>
      </c>
      <c r="E151" s="5" t="inlineStr">
        <is>
          <t>Google Ads</t>
        </is>
      </c>
      <c r="F151" s="5" t="inlineStr">
        <is>
          <t>solarafitband.example.com</t>
        </is>
      </c>
      <c r="G151" s="8" t="n">
        <v>4903</v>
      </c>
      <c r="H151" s="8" t="n">
        <v>3848</v>
      </c>
      <c r="I151" s="8" t="n">
        <v>92</v>
      </c>
      <c r="J151" s="9">
        <f>I151/H151</f>
        <v/>
      </c>
      <c r="K151" s="8" t="n">
        <v>90</v>
      </c>
      <c r="L151" s="8" t="n">
        <v>2</v>
      </c>
      <c r="M151" s="5" t="inlineStr">
        <is>
          <t>N/A</t>
        </is>
      </c>
      <c r="N151" s="5" t="inlineStr">
        <is>
          <t>N/A</t>
        </is>
      </c>
      <c r="O151" s="8" t="inlineStr">
        <is>
          <t>N/A</t>
        </is>
      </c>
      <c r="P151" s="5" t="n">
        <v>2</v>
      </c>
      <c r="Q151" s="8">
        <f>IFERROR(G151/L151,0)</f>
        <v/>
      </c>
      <c r="R151" s="8" t="n">
        <v>14315</v>
      </c>
      <c r="S151" s="10">
        <f>IFERROR(R151/G151,0)</f>
        <v/>
      </c>
    </row>
    <row r="152">
      <c r="A152" s="7" t="n">
        <v>46169</v>
      </c>
      <c r="B152" s="5" t="inlineStr">
        <is>
          <t>Solara Fitband</t>
        </is>
      </c>
      <c r="C152" s="5" t="inlineStr">
        <is>
          <t>Consumer Electronics / Wearables</t>
        </is>
      </c>
      <c r="D152" s="5" t="inlineStr">
        <is>
          <t>B2C</t>
        </is>
      </c>
      <c r="E152" s="5" t="inlineStr">
        <is>
          <t>Google Ads</t>
        </is>
      </c>
      <c r="F152" s="5" t="inlineStr">
        <is>
          <t>solarafitband.example.com</t>
        </is>
      </c>
      <c r="G152" s="8" t="n">
        <v>4783</v>
      </c>
      <c r="H152" s="8" t="n">
        <v>4301</v>
      </c>
      <c r="I152" s="8" t="n">
        <v>103</v>
      </c>
      <c r="J152" s="9">
        <f>I152/H152</f>
        <v/>
      </c>
      <c r="K152" s="8" t="n">
        <v>99</v>
      </c>
      <c r="L152" s="8" t="n">
        <v>3</v>
      </c>
      <c r="M152" s="5" t="inlineStr">
        <is>
          <t>N/A</t>
        </is>
      </c>
      <c r="N152" s="5" t="inlineStr">
        <is>
          <t>N/A</t>
        </is>
      </c>
      <c r="O152" s="8" t="inlineStr">
        <is>
          <t>N/A</t>
        </is>
      </c>
      <c r="P152" s="5" t="n">
        <v>3</v>
      </c>
      <c r="Q152" s="8">
        <f>IFERROR(G152/L152,0)</f>
        <v/>
      </c>
      <c r="R152" s="8" t="n">
        <v>15998</v>
      </c>
      <c r="S152" s="10">
        <f>IFERROR(R152/G152,0)</f>
        <v/>
      </c>
    </row>
    <row r="153">
      <c r="A153" s="7" t="n">
        <v>46170</v>
      </c>
      <c r="B153" s="5" t="inlineStr">
        <is>
          <t>Solara Fitband</t>
        </is>
      </c>
      <c r="C153" s="5" t="inlineStr">
        <is>
          <t>Consumer Electronics / Wearables</t>
        </is>
      </c>
      <c r="D153" s="5" t="inlineStr">
        <is>
          <t>B2C</t>
        </is>
      </c>
      <c r="E153" s="5" t="inlineStr">
        <is>
          <t>Google Ads</t>
        </is>
      </c>
      <c r="F153" s="5" t="inlineStr">
        <is>
          <t>solarafitband.example.com</t>
        </is>
      </c>
      <c r="G153" s="8" t="n">
        <v>4858</v>
      </c>
      <c r="H153" s="8" t="n">
        <v>4406</v>
      </c>
      <c r="I153" s="8" t="n">
        <v>106</v>
      </c>
      <c r="J153" s="9">
        <f>I153/H153</f>
        <v/>
      </c>
      <c r="K153" s="8" t="n">
        <v>102</v>
      </c>
      <c r="L153" s="8" t="n">
        <v>3</v>
      </c>
      <c r="M153" s="5" t="inlineStr">
        <is>
          <t>N/A</t>
        </is>
      </c>
      <c r="N153" s="5" t="inlineStr">
        <is>
          <t>N/A</t>
        </is>
      </c>
      <c r="O153" s="8" t="inlineStr">
        <is>
          <t>N/A</t>
        </is>
      </c>
      <c r="P153" s="5" t="n">
        <v>3</v>
      </c>
      <c r="Q153" s="8">
        <f>IFERROR(G153/L153,0)</f>
        <v/>
      </c>
      <c r="R153" s="8" t="n">
        <v>16389</v>
      </c>
      <c r="S153" s="10">
        <f>IFERROR(R153/G153,0)</f>
        <v/>
      </c>
    </row>
    <row r="154">
      <c r="A154" s="7" t="n">
        <v>46171</v>
      </c>
      <c r="B154" s="5" t="inlineStr">
        <is>
          <t>Solara Fitband</t>
        </is>
      </c>
      <c r="C154" s="5" t="inlineStr">
        <is>
          <t>Consumer Electronics / Wearables</t>
        </is>
      </c>
      <c r="D154" s="5" t="inlineStr">
        <is>
          <t>B2C</t>
        </is>
      </c>
      <c r="E154" s="5" t="inlineStr">
        <is>
          <t>Google Ads</t>
        </is>
      </c>
      <c r="F154" s="5" t="inlineStr">
        <is>
          <t>solarafitband.example.com</t>
        </is>
      </c>
      <c r="G154" s="8" t="n">
        <v>4969</v>
      </c>
      <c r="H154" s="8" t="n">
        <v>4439</v>
      </c>
      <c r="I154" s="8" t="n">
        <v>107</v>
      </c>
      <c r="J154" s="9">
        <f>I154/H154</f>
        <v/>
      </c>
      <c r="K154" s="8" t="n">
        <v>94</v>
      </c>
      <c r="L154" s="8" t="n">
        <v>3</v>
      </c>
      <c r="M154" s="5" t="inlineStr">
        <is>
          <t>N/A</t>
        </is>
      </c>
      <c r="N154" s="5" t="inlineStr">
        <is>
          <t>N/A</t>
        </is>
      </c>
      <c r="O154" s="8" t="inlineStr">
        <is>
          <t>N/A</t>
        </is>
      </c>
      <c r="P154" s="5" t="n">
        <v>3</v>
      </c>
      <c r="Q154" s="8">
        <f>IFERROR(G154/L154,0)</f>
        <v/>
      </c>
      <c r="R154" s="8" t="n">
        <v>16513</v>
      </c>
      <c r="S154" s="10">
        <f>IFERROR(R154/G154,0)</f>
        <v/>
      </c>
    </row>
    <row r="155">
      <c r="A155" s="7" t="n">
        <v>46172</v>
      </c>
      <c r="B155" s="5" t="inlineStr">
        <is>
          <t>Solara Fitband</t>
        </is>
      </c>
      <c r="C155" s="5" t="inlineStr">
        <is>
          <t>Consumer Electronics / Wearables</t>
        </is>
      </c>
      <c r="D155" s="5" t="inlineStr">
        <is>
          <t>B2C</t>
        </is>
      </c>
      <c r="E155" s="5" t="inlineStr">
        <is>
          <t>Google Ads</t>
        </is>
      </c>
      <c r="F155" s="5" t="inlineStr">
        <is>
          <t>solarafitband.example.com</t>
        </is>
      </c>
      <c r="G155" s="8" t="n">
        <v>4776</v>
      </c>
      <c r="H155" s="8" t="n">
        <v>4226</v>
      </c>
      <c r="I155" s="8" t="n">
        <v>101</v>
      </c>
      <c r="J155" s="9">
        <f>I155/H155</f>
        <v/>
      </c>
      <c r="K155" s="8" t="n">
        <v>87</v>
      </c>
      <c r="L155" s="8" t="n">
        <v>3</v>
      </c>
      <c r="M155" s="5" t="inlineStr">
        <is>
          <t>N/A</t>
        </is>
      </c>
      <c r="N155" s="5" t="inlineStr">
        <is>
          <t>N/A</t>
        </is>
      </c>
      <c r="O155" s="8" t="inlineStr">
        <is>
          <t>N/A</t>
        </is>
      </c>
      <c r="P155" s="5" t="n">
        <v>3</v>
      </c>
      <c r="Q155" s="8">
        <f>IFERROR(G155/L155,0)</f>
        <v/>
      </c>
      <c r="R155" s="8" t="n">
        <v>15722</v>
      </c>
      <c r="S155" s="10">
        <f>IFERROR(R155/G155,0)</f>
        <v/>
      </c>
    </row>
    <row r="156">
      <c r="A156" s="7" t="n">
        <v>46173</v>
      </c>
      <c r="B156" s="5" t="inlineStr">
        <is>
          <t>Solara Fitband</t>
        </is>
      </c>
      <c r="C156" s="5" t="inlineStr">
        <is>
          <t>Consumer Electronics / Wearables</t>
        </is>
      </c>
      <c r="D156" s="5" t="inlineStr">
        <is>
          <t>B2C</t>
        </is>
      </c>
      <c r="E156" s="5" t="inlineStr">
        <is>
          <t>Google Ads</t>
        </is>
      </c>
      <c r="F156" s="5" t="inlineStr">
        <is>
          <t>solarafitband.example.com</t>
        </is>
      </c>
      <c r="G156" s="8" t="n">
        <v>5259</v>
      </c>
      <c r="H156" s="8" t="n">
        <v>5380</v>
      </c>
      <c r="I156" s="8" t="n">
        <v>129</v>
      </c>
      <c r="J156" s="9">
        <f>I156/H156</f>
        <v/>
      </c>
      <c r="K156" s="8" t="n">
        <v>124</v>
      </c>
      <c r="L156" s="8" t="n">
        <v>3</v>
      </c>
      <c r="M156" s="5" t="inlineStr">
        <is>
          <t>N/A</t>
        </is>
      </c>
      <c r="N156" s="5" t="inlineStr">
        <is>
          <t>N/A</t>
        </is>
      </c>
      <c r="O156" s="8" t="inlineStr">
        <is>
          <t>N/A</t>
        </is>
      </c>
      <c r="P156" s="5" t="n">
        <v>3</v>
      </c>
      <c r="Q156" s="8">
        <f>IFERROR(G156/L156,0)</f>
        <v/>
      </c>
      <c r="R156" s="8" t="n">
        <v>20015</v>
      </c>
      <c r="S156" s="10">
        <f>IFERROR(R156/G156,0)</f>
        <v/>
      </c>
    </row>
    <row r="157">
      <c r="A157" s="7" t="n">
        <v>46143</v>
      </c>
      <c r="B157" s="5" t="inlineStr">
        <is>
          <t>Solara Fitband</t>
        </is>
      </c>
      <c r="C157" s="5" t="inlineStr">
        <is>
          <t>Consumer Electronics / Wearables</t>
        </is>
      </c>
      <c r="D157" s="5" t="inlineStr">
        <is>
          <t>B2C</t>
        </is>
      </c>
      <c r="E157" s="5" t="inlineStr">
        <is>
          <t>Facebook</t>
        </is>
      </c>
      <c r="F157" s="5" t="inlineStr">
        <is>
          <t>solarafitband.example.com</t>
        </is>
      </c>
      <c r="G157" s="8" t="n">
        <v>3933</v>
      </c>
      <c r="H157" s="8" t="n">
        <v>4690</v>
      </c>
      <c r="I157" s="8" t="n">
        <v>70</v>
      </c>
      <c r="J157" s="9">
        <f>I157/H157</f>
        <v/>
      </c>
      <c r="K157" s="8" t="n">
        <v>68</v>
      </c>
      <c r="L157" s="8" t="n">
        <v>1</v>
      </c>
      <c r="M157" s="5" t="inlineStr">
        <is>
          <t>N/A</t>
        </is>
      </c>
      <c r="N157" s="5" t="inlineStr">
        <is>
          <t>N/A</t>
        </is>
      </c>
      <c r="O157" s="8" t="inlineStr">
        <is>
          <t>N/A</t>
        </is>
      </c>
      <c r="P157" s="5" t="n">
        <v>1</v>
      </c>
      <c r="Q157" s="8">
        <f>IFERROR(G157/L157,0)</f>
        <v/>
      </c>
      <c r="R157" s="8" t="n">
        <v>7851</v>
      </c>
      <c r="S157" s="10">
        <f>IFERROR(R157/G157,0)</f>
        <v/>
      </c>
    </row>
    <row r="158">
      <c r="A158" s="7" t="n">
        <v>46144</v>
      </c>
      <c r="B158" s="5" t="inlineStr">
        <is>
          <t>Solara Fitband</t>
        </is>
      </c>
      <c r="C158" s="5" t="inlineStr">
        <is>
          <t>Consumer Electronics / Wearables</t>
        </is>
      </c>
      <c r="D158" s="5" t="inlineStr">
        <is>
          <t>B2C</t>
        </is>
      </c>
      <c r="E158" s="5" t="inlineStr">
        <is>
          <t>Facebook</t>
        </is>
      </c>
      <c r="F158" s="5" t="inlineStr">
        <is>
          <t>solarafitband.example.com</t>
        </is>
      </c>
      <c r="G158" s="8" t="n">
        <v>4050</v>
      </c>
      <c r="H158" s="8" t="n">
        <v>5496</v>
      </c>
      <c r="I158" s="8" t="n">
        <v>82</v>
      </c>
      <c r="J158" s="9">
        <f>I158/H158</f>
        <v/>
      </c>
      <c r="K158" s="8" t="n">
        <v>78</v>
      </c>
      <c r="L158" s="8" t="n">
        <v>1</v>
      </c>
      <c r="M158" s="5" t="inlineStr">
        <is>
          <t>N/A</t>
        </is>
      </c>
      <c r="N158" s="5" t="inlineStr">
        <is>
          <t>N/A</t>
        </is>
      </c>
      <c r="O158" s="8" t="inlineStr">
        <is>
          <t>N/A</t>
        </is>
      </c>
      <c r="P158" s="5" t="n">
        <v>1</v>
      </c>
      <c r="Q158" s="8">
        <f>IFERROR(G158/L158,0)</f>
        <v/>
      </c>
      <c r="R158" s="8" t="n">
        <v>9200</v>
      </c>
      <c r="S158" s="10">
        <f>IFERROR(R158/G158,0)</f>
        <v/>
      </c>
    </row>
    <row r="159">
      <c r="A159" s="7" t="n">
        <v>46145</v>
      </c>
      <c r="B159" s="5" t="inlineStr">
        <is>
          <t>Solara Fitband</t>
        </is>
      </c>
      <c r="C159" s="5" t="inlineStr">
        <is>
          <t>Consumer Electronics / Wearables</t>
        </is>
      </c>
      <c r="D159" s="5" t="inlineStr">
        <is>
          <t>B2C</t>
        </is>
      </c>
      <c r="E159" s="5" t="inlineStr">
        <is>
          <t>Facebook</t>
        </is>
      </c>
      <c r="F159" s="5" t="inlineStr">
        <is>
          <t>solarafitband.example.com</t>
        </is>
      </c>
      <c r="G159" s="8" t="n">
        <v>4344</v>
      </c>
      <c r="H159" s="8" t="n">
        <v>7256</v>
      </c>
      <c r="I159" s="8" t="n">
        <v>109</v>
      </c>
      <c r="J159" s="9">
        <f>I159/H159</f>
        <v/>
      </c>
      <c r="K159" s="8" t="n">
        <v>105</v>
      </c>
      <c r="L159" s="8" t="n">
        <v>2</v>
      </c>
      <c r="M159" s="5" t="inlineStr">
        <is>
          <t>N/A</t>
        </is>
      </c>
      <c r="N159" s="5" t="inlineStr">
        <is>
          <t>N/A</t>
        </is>
      </c>
      <c r="O159" s="8" t="inlineStr">
        <is>
          <t>N/A</t>
        </is>
      </c>
      <c r="P159" s="5" t="n">
        <v>2</v>
      </c>
      <c r="Q159" s="8">
        <f>IFERROR(G159/L159,0)</f>
        <v/>
      </c>
      <c r="R159" s="8" t="n">
        <v>12147</v>
      </c>
      <c r="S159" s="10">
        <f>IFERROR(R159/G159,0)</f>
        <v/>
      </c>
    </row>
    <row r="160">
      <c r="A160" s="7" t="n">
        <v>46146</v>
      </c>
      <c r="B160" s="5" t="inlineStr">
        <is>
          <t>Solara Fitband</t>
        </is>
      </c>
      <c r="C160" s="5" t="inlineStr">
        <is>
          <t>Consumer Electronics / Wearables</t>
        </is>
      </c>
      <c r="D160" s="5" t="inlineStr">
        <is>
          <t>B2C</t>
        </is>
      </c>
      <c r="E160" s="5" t="inlineStr">
        <is>
          <t>Facebook</t>
        </is>
      </c>
      <c r="F160" s="5" t="inlineStr">
        <is>
          <t>solarafitband.example.com</t>
        </is>
      </c>
      <c r="G160" s="8" t="n">
        <v>4295</v>
      </c>
      <c r="H160" s="8" t="n">
        <v>6745</v>
      </c>
      <c r="I160" s="8" t="n">
        <v>101</v>
      </c>
      <c r="J160" s="9">
        <f>I160/H160</f>
        <v/>
      </c>
      <c r="K160" s="8" t="n">
        <v>89</v>
      </c>
      <c r="L160" s="8" t="n">
        <v>2</v>
      </c>
      <c r="M160" s="5" t="inlineStr">
        <is>
          <t>N/A</t>
        </is>
      </c>
      <c r="N160" s="5" t="inlineStr">
        <is>
          <t>N/A</t>
        </is>
      </c>
      <c r="O160" s="8" t="inlineStr">
        <is>
          <t>N/A</t>
        </is>
      </c>
      <c r="P160" s="5" t="n">
        <v>2</v>
      </c>
      <c r="Q160" s="8">
        <f>IFERROR(G160/L160,0)</f>
        <v/>
      </c>
      <c r="R160" s="8" t="n">
        <v>11290</v>
      </c>
      <c r="S160" s="10">
        <f>IFERROR(R160/G160,0)</f>
        <v/>
      </c>
    </row>
    <row r="161">
      <c r="A161" s="7" t="n">
        <v>46147</v>
      </c>
      <c r="B161" s="5" t="inlineStr">
        <is>
          <t>Solara Fitband</t>
        </is>
      </c>
      <c r="C161" s="5" t="inlineStr">
        <is>
          <t>Consumer Electronics / Wearables</t>
        </is>
      </c>
      <c r="D161" s="5" t="inlineStr">
        <is>
          <t>B2C</t>
        </is>
      </c>
      <c r="E161" s="5" t="inlineStr">
        <is>
          <t>Facebook</t>
        </is>
      </c>
      <c r="F161" s="5" t="inlineStr">
        <is>
          <t>solarafitband.example.com</t>
        </is>
      </c>
      <c r="G161" s="8" t="n">
        <v>4385</v>
      </c>
      <c r="H161" s="8" t="n">
        <v>5522</v>
      </c>
      <c r="I161" s="8" t="n">
        <v>83</v>
      </c>
      <c r="J161" s="9">
        <f>I161/H161</f>
        <v/>
      </c>
      <c r="K161" s="8" t="n">
        <v>76</v>
      </c>
      <c r="L161" s="8" t="n">
        <v>1</v>
      </c>
      <c r="M161" s="5" t="inlineStr">
        <is>
          <t>N/A</t>
        </is>
      </c>
      <c r="N161" s="5" t="inlineStr">
        <is>
          <t>N/A</t>
        </is>
      </c>
      <c r="O161" s="8" t="inlineStr">
        <is>
          <t>N/A</t>
        </is>
      </c>
      <c r="P161" s="5" t="n">
        <v>1</v>
      </c>
      <c r="Q161" s="8">
        <f>IFERROR(G161/L161,0)</f>
        <v/>
      </c>
      <c r="R161" s="8" t="n">
        <v>9243</v>
      </c>
      <c r="S161" s="10">
        <f>IFERROR(R161/G161,0)</f>
        <v/>
      </c>
    </row>
    <row r="162">
      <c r="A162" s="7" t="n">
        <v>46148</v>
      </c>
      <c r="B162" s="5" t="inlineStr">
        <is>
          <t>Solara Fitband</t>
        </is>
      </c>
      <c r="C162" s="5" t="inlineStr">
        <is>
          <t>Consumer Electronics / Wearables</t>
        </is>
      </c>
      <c r="D162" s="5" t="inlineStr">
        <is>
          <t>B2C</t>
        </is>
      </c>
      <c r="E162" s="5" t="inlineStr">
        <is>
          <t>Facebook</t>
        </is>
      </c>
      <c r="F162" s="5" t="inlineStr">
        <is>
          <t>solarafitband.example.com</t>
        </is>
      </c>
      <c r="G162" s="8" t="n">
        <v>4626</v>
      </c>
      <c r="H162" s="8" t="n">
        <v>6527</v>
      </c>
      <c r="I162" s="8" t="n">
        <v>98</v>
      </c>
      <c r="J162" s="9">
        <f>I162/H162</f>
        <v/>
      </c>
      <c r="K162" s="8" t="n">
        <v>93</v>
      </c>
      <c r="L162" s="8" t="n">
        <v>2</v>
      </c>
      <c r="M162" s="5" t="inlineStr">
        <is>
          <t>N/A</t>
        </is>
      </c>
      <c r="N162" s="5" t="inlineStr">
        <is>
          <t>N/A</t>
        </is>
      </c>
      <c r="O162" s="8" t="inlineStr">
        <is>
          <t>N/A</t>
        </is>
      </c>
      <c r="P162" s="5" t="n">
        <v>2</v>
      </c>
      <c r="Q162" s="8">
        <f>IFERROR(G162/L162,0)</f>
        <v/>
      </c>
      <c r="R162" s="8" t="n">
        <v>10927</v>
      </c>
      <c r="S162" s="10">
        <f>IFERROR(R162/G162,0)</f>
        <v/>
      </c>
    </row>
    <row r="163">
      <c r="A163" s="7" t="n">
        <v>46149</v>
      </c>
      <c r="B163" s="5" t="inlineStr">
        <is>
          <t>Solara Fitband</t>
        </is>
      </c>
      <c r="C163" s="5" t="inlineStr">
        <is>
          <t>Consumer Electronics / Wearables</t>
        </is>
      </c>
      <c r="D163" s="5" t="inlineStr">
        <is>
          <t>B2C</t>
        </is>
      </c>
      <c r="E163" s="5" t="inlineStr">
        <is>
          <t>Facebook</t>
        </is>
      </c>
      <c r="F163" s="5" t="inlineStr">
        <is>
          <t>solarafitband.example.com</t>
        </is>
      </c>
      <c r="G163" s="8" t="n">
        <v>3769</v>
      </c>
      <c r="H163" s="8" t="n">
        <v>5179</v>
      </c>
      <c r="I163" s="8" t="n">
        <v>78</v>
      </c>
      <c r="J163" s="9">
        <f>I163/H163</f>
        <v/>
      </c>
      <c r="K163" s="8" t="n">
        <v>69</v>
      </c>
      <c r="L163" s="8" t="n">
        <v>1</v>
      </c>
      <c r="M163" s="5" t="inlineStr">
        <is>
          <t>N/A</t>
        </is>
      </c>
      <c r="N163" s="5" t="inlineStr">
        <is>
          <t>N/A</t>
        </is>
      </c>
      <c r="O163" s="8" t="inlineStr">
        <is>
          <t>N/A</t>
        </is>
      </c>
      <c r="P163" s="5" t="n">
        <v>1</v>
      </c>
      <c r="Q163" s="8">
        <f>IFERROR(G163/L163,0)</f>
        <v/>
      </c>
      <c r="R163" s="8" t="n">
        <v>8670</v>
      </c>
      <c r="S163" s="10">
        <f>IFERROR(R163/G163,0)</f>
        <v/>
      </c>
    </row>
    <row r="164">
      <c r="A164" s="7" t="n">
        <v>46150</v>
      </c>
      <c r="B164" s="5" t="inlineStr">
        <is>
          <t>Solara Fitband</t>
        </is>
      </c>
      <c r="C164" s="5" t="inlineStr">
        <is>
          <t>Consumer Electronics / Wearables</t>
        </is>
      </c>
      <c r="D164" s="5" t="inlineStr">
        <is>
          <t>B2C</t>
        </is>
      </c>
      <c r="E164" s="5" t="inlineStr">
        <is>
          <t>Facebook</t>
        </is>
      </c>
      <c r="F164" s="5" t="inlineStr">
        <is>
          <t>solarafitband.example.com</t>
        </is>
      </c>
      <c r="G164" s="8" t="n">
        <v>4593</v>
      </c>
      <c r="H164" s="8" t="n">
        <v>6524</v>
      </c>
      <c r="I164" s="8" t="n">
        <v>98</v>
      </c>
      <c r="J164" s="9">
        <f>I164/H164</f>
        <v/>
      </c>
      <c r="K164" s="8" t="n">
        <v>86</v>
      </c>
      <c r="L164" s="8" t="n">
        <v>2</v>
      </c>
      <c r="M164" s="5" t="inlineStr">
        <is>
          <t>N/A</t>
        </is>
      </c>
      <c r="N164" s="5" t="inlineStr">
        <is>
          <t>N/A</t>
        </is>
      </c>
      <c r="O164" s="8" t="inlineStr">
        <is>
          <t>N/A</t>
        </is>
      </c>
      <c r="P164" s="5" t="n">
        <v>2</v>
      </c>
      <c r="Q164" s="8">
        <f>IFERROR(G164/L164,0)</f>
        <v/>
      </c>
      <c r="R164" s="8" t="n">
        <v>10922</v>
      </c>
      <c r="S164" s="10">
        <f>IFERROR(R164/G164,0)</f>
        <v/>
      </c>
    </row>
    <row r="165">
      <c r="A165" s="7" t="n">
        <v>46151</v>
      </c>
      <c r="B165" s="5" t="inlineStr">
        <is>
          <t>Solara Fitband</t>
        </is>
      </c>
      <c r="C165" s="5" t="inlineStr">
        <is>
          <t>Consumer Electronics / Wearables</t>
        </is>
      </c>
      <c r="D165" s="5" t="inlineStr">
        <is>
          <t>B2C</t>
        </is>
      </c>
      <c r="E165" s="5" t="inlineStr">
        <is>
          <t>Facebook</t>
        </is>
      </c>
      <c r="F165" s="5" t="inlineStr">
        <is>
          <t>solarafitband.example.com</t>
        </is>
      </c>
      <c r="G165" s="8" t="n">
        <v>4302</v>
      </c>
      <c r="H165" s="8" t="n">
        <v>5416</v>
      </c>
      <c r="I165" s="8" t="n">
        <v>81</v>
      </c>
      <c r="J165" s="9">
        <f>I165/H165</f>
        <v/>
      </c>
      <c r="K165" s="8" t="n">
        <v>69</v>
      </c>
      <c r="L165" s="8" t="n">
        <v>1</v>
      </c>
      <c r="M165" s="5" t="inlineStr">
        <is>
          <t>N/A</t>
        </is>
      </c>
      <c r="N165" s="5" t="inlineStr">
        <is>
          <t>N/A</t>
        </is>
      </c>
      <c r="O165" s="8" t="inlineStr">
        <is>
          <t>N/A</t>
        </is>
      </c>
      <c r="P165" s="5" t="n">
        <v>1</v>
      </c>
      <c r="Q165" s="8">
        <f>IFERROR(G165/L165,0)</f>
        <v/>
      </c>
      <c r="R165" s="8" t="n">
        <v>9066</v>
      </c>
      <c r="S165" s="10">
        <f>IFERROR(R165/G165,0)</f>
        <v/>
      </c>
    </row>
    <row r="166">
      <c r="A166" s="7" t="n">
        <v>46152</v>
      </c>
      <c r="B166" s="5" t="inlineStr">
        <is>
          <t>Solara Fitband</t>
        </is>
      </c>
      <c r="C166" s="5" t="inlineStr">
        <is>
          <t>Consumer Electronics / Wearables</t>
        </is>
      </c>
      <c r="D166" s="5" t="inlineStr">
        <is>
          <t>B2C</t>
        </is>
      </c>
      <c r="E166" s="5" t="inlineStr">
        <is>
          <t>Facebook</t>
        </is>
      </c>
      <c r="F166" s="5" t="inlineStr">
        <is>
          <t>solarafitband.example.com</t>
        </is>
      </c>
      <c r="G166" s="8" t="n">
        <v>4239</v>
      </c>
      <c r="H166" s="8" t="n">
        <v>5761</v>
      </c>
      <c r="I166" s="8" t="n">
        <v>86</v>
      </c>
      <c r="J166" s="9">
        <f>I166/H166</f>
        <v/>
      </c>
      <c r="K166" s="8" t="n">
        <v>84</v>
      </c>
      <c r="L166" s="8" t="n">
        <v>2</v>
      </c>
      <c r="M166" s="5" t="inlineStr">
        <is>
          <t>N/A</t>
        </is>
      </c>
      <c r="N166" s="5" t="inlineStr">
        <is>
          <t>N/A</t>
        </is>
      </c>
      <c r="O166" s="8" t="inlineStr">
        <is>
          <t>N/A</t>
        </is>
      </c>
      <c r="P166" s="5" t="n">
        <v>2</v>
      </c>
      <c r="Q166" s="8">
        <f>IFERROR(G166/L166,0)</f>
        <v/>
      </c>
      <c r="R166" s="8" t="n">
        <v>9644</v>
      </c>
      <c r="S166" s="10">
        <f>IFERROR(R166/G166,0)</f>
        <v/>
      </c>
    </row>
    <row r="167">
      <c r="A167" s="7" t="n">
        <v>46153</v>
      </c>
      <c r="B167" s="5" t="inlineStr">
        <is>
          <t>Solara Fitband</t>
        </is>
      </c>
      <c r="C167" s="5" t="inlineStr">
        <is>
          <t>Consumer Electronics / Wearables</t>
        </is>
      </c>
      <c r="D167" s="5" t="inlineStr">
        <is>
          <t>B2C</t>
        </is>
      </c>
      <c r="E167" s="5" t="inlineStr">
        <is>
          <t>Facebook</t>
        </is>
      </c>
      <c r="F167" s="5" t="inlineStr">
        <is>
          <t>solarafitband.example.com</t>
        </is>
      </c>
      <c r="G167" s="8" t="n">
        <v>3857</v>
      </c>
      <c r="H167" s="8" t="n">
        <v>4283</v>
      </c>
      <c r="I167" s="8" t="n">
        <v>64</v>
      </c>
      <c r="J167" s="9">
        <f>I167/H167</f>
        <v/>
      </c>
      <c r="K167" s="8" t="n">
        <v>61</v>
      </c>
      <c r="L167" s="8" t="n">
        <v>1</v>
      </c>
      <c r="M167" s="5" t="inlineStr">
        <is>
          <t>N/A</t>
        </is>
      </c>
      <c r="N167" s="5" t="inlineStr">
        <is>
          <t>N/A</t>
        </is>
      </c>
      <c r="O167" s="8" t="inlineStr">
        <is>
          <t>N/A</t>
        </is>
      </c>
      <c r="P167" s="5" t="n">
        <v>1</v>
      </c>
      <c r="Q167" s="8">
        <f>IFERROR(G167/L167,0)</f>
        <v/>
      </c>
      <c r="R167" s="8" t="n">
        <v>7170</v>
      </c>
      <c r="S167" s="10">
        <f>IFERROR(R167/G167,0)</f>
        <v/>
      </c>
    </row>
    <row r="168">
      <c r="A168" s="7" t="n">
        <v>46154</v>
      </c>
      <c r="B168" s="5" t="inlineStr">
        <is>
          <t>Solara Fitband</t>
        </is>
      </c>
      <c r="C168" s="5" t="inlineStr">
        <is>
          <t>Consumer Electronics / Wearables</t>
        </is>
      </c>
      <c r="D168" s="5" t="inlineStr">
        <is>
          <t>B2C</t>
        </is>
      </c>
      <c r="E168" s="5" t="inlineStr">
        <is>
          <t>Facebook</t>
        </is>
      </c>
      <c r="F168" s="5" t="inlineStr">
        <is>
          <t>solarafitband.example.com</t>
        </is>
      </c>
      <c r="G168" s="8" t="n">
        <v>4451</v>
      </c>
      <c r="H168" s="8" t="n">
        <v>6215</v>
      </c>
      <c r="I168" s="8" t="n">
        <v>93</v>
      </c>
      <c r="J168" s="9">
        <f>I168/H168</f>
        <v/>
      </c>
      <c r="K168" s="8" t="n">
        <v>87</v>
      </c>
      <c r="L168" s="8" t="n">
        <v>2</v>
      </c>
      <c r="M168" s="5" t="inlineStr">
        <is>
          <t>N/A</t>
        </is>
      </c>
      <c r="N168" s="5" t="inlineStr">
        <is>
          <t>N/A</t>
        </is>
      </c>
      <c r="O168" s="8" t="inlineStr">
        <is>
          <t>N/A</t>
        </is>
      </c>
      <c r="P168" s="5" t="n">
        <v>2</v>
      </c>
      <c r="Q168" s="8">
        <f>IFERROR(G168/L168,0)</f>
        <v/>
      </c>
      <c r="R168" s="8" t="n">
        <v>10404</v>
      </c>
      <c r="S168" s="10">
        <f>IFERROR(R168/G168,0)</f>
        <v/>
      </c>
    </row>
    <row r="169">
      <c r="A169" s="7" t="n">
        <v>46155</v>
      </c>
      <c r="B169" s="5" t="inlineStr">
        <is>
          <t>Solara Fitband</t>
        </is>
      </c>
      <c r="C169" s="5" t="inlineStr">
        <is>
          <t>Consumer Electronics / Wearables</t>
        </is>
      </c>
      <c r="D169" s="5" t="inlineStr">
        <is>
          <t>B2C</t>
        </is>
      </c>
      <c r="E169" s="5" t="inlineStr">
        <is>
          <t>Facebook</t>
        </is>
      </c>
      <c r="F169" s="5" t="inlineStr">
        <is>
          <t>solarafitband.example.com</t>
        </is>
      </c>
      <c r="G169" s="8" t="n">
        <v>3573</v>
      </c>
      <c r="H169" s="8" t="n">
        <v>5175</v>
      </c>
      <c r="I169" s="8" t="n">
        <v>78</v>
      </c>
      <c r="J169" s="9">
        <f>I169/H169</f>
        <v/>
      </c>
      <c r="K169" s="8" t="n">
        <v>73</v>
      </c>
      <c r="L169" s="8" t="n">
        <v>1</v>
      </c>
      <c r="M169" s="5" t="inlineStr">
        <is>
          <t>N/A</t>
        </is>
      </c>
      <c r="N169" s="5" t="inlineStr">
        <is>
          <t>N/A</t>
        </is>
      </c>
      <c r="O169" s="8" t="inlineStr">
        <is>
          <t>N/A</t>
        </is>
      </c>
      <c r="P169" s="5" t="n">
        <v>1</v>
      </c>
      <c r="Q169" s="8">
        <f>IFERROR(G169/L169,0)</f>
        <v/>
      </c>
      <c r="R169" s="8" t="n">
        <v>8663</v>
      </c>
      <c r="S169" s="10">
        <f>IFERROR(R169/G169,0)</f>
        <v/>
      </c>
    </row>
    <row r="170">
      <c r="A170" s="7" t="n">
        <v>46156</v>
      </c>
      <c r="B170" s="5" t="inlineStr">
        <is>
          <t>Solara Fitband</t>
        </is>
      </c>
      <c r="C170" s="5" t="inlineStr">
        <is>
          <t>Consumer Electronics / Wearables</t>
        </is>
      </c>
      <c r="D170" s="5" t="inlineStr">
        <is>
          <t>B2C</t>
        </is>
      </c>
      <c r="E170" s="5" t="inlineStr">
        <is>
          <t>Facebook</t>
        </is>
      </c>
      <c r="F170" s="5" t="inlineStr">
        <is>
          <t>solarafitband.example.com</t>
        </is>
      </c>
      <c r="G170" s="8" t="n">
        <v>4495</v>
      </c>
      <c r="H170" s="8" t="n">
        <v>6008</v>
      </c>
      <c r="I170" s="8" t="n">
        <v>90</v>
      </c>
      <c r="J170" s="9">
        <f>I170/H170</f>
        <v/>
      </c>
      <c r="K170" s="8" t="n">
        <v>83</v>
      </c>
      <c r="L170" s="8" t="n">
        <v>2</v>
      </c>
      <c r="M170" s="5" t="inlineStr">
        <is>
          <t>N/A</t>
        </is>
      </c>
      <c r="N170" s="5" t="inlineStr">
        <is>
          <t>N/A</t>
        </is>
      </c>
      <c r="O170" s="8" t="inlineStr">
        <is>
          <t>N/A</t>
        </is>
      </c>
      <c r="P170" s="5" t="n">
        <v>2</v>
      </c>
      <c r="Q170" s="8">
        <f>IFERROR(G170/L170,0)</f>
        <v/>
      </c>
      <c r="R170" s="8" t="n">
        <v>10057</v>
      </c>
      <c r="S170" s="10">
        <f>IFERROR(R170/G170,0)</f>
        <v/>
      </c>
    </row>
    <row r="171">
      <c r="A171" s="7" t="n">
        <v>46157</v>
      </c>
      <c r="B171" s="5" t="inlineStr">
        <is>
          <t>Solara Fitband</t>
        </is>
      </c>
      <c r="C171" s="5" t="inlineStr">
        <is>
          <t>Consumer Electronics / Wearables</t>
        </is>
      </c>
      <c r="D171" s="5" t="inlineStr">
        <is>
          <t>B2C</t>
        </is>
      </c>
      <c r="E171" s="5" t="inlineStr">
        <is>
          <t>Facebook</t>
        </is>
      </c>
      <c r="F171" s="5" t="inlineStr">
        <is>
          <t>solarafitband.example.com</t>
        </is>
      </c>
      <c r="G171" s="8" t="n">
        <v>3851</v>
      </c>
      <c r="H171" s="8" t="n">
        <v>4266</v>
      </c>
      <c r="I171" s="8" t="n">
        <v>64</v>
      </c>
      <c r="J171" s="9">
        <f>I171/H171</f>
        <v/>
      </c>
      <c r="K171" s="8" t="n">
        <v>58</v>
      </c>
      <c r="L171" s="8" t="n">
        <v>1</v>
      </c>
      <c r="M171" s="5" t="inlineStr">
        <is>
          <t>N/A</t>
        </is>
      </c>
      <c r="N171" s="5" t="inlineStr">
        <is>
          <t>N/A</t>
        </is>
      </c>
      <c r="O171" s="8" t="inlineStr">
        <is>
          <t>N/A</t>
        </is>
      </c>
      <c r="P171" s="5" t="n">
        <v>1</v>
      </c>
      <c r="Q171" s="8">
        <f>IFERROR(G171/L171,0)</f>
        <v/>
      </c>
      <c r="R171" s="8" t="n">
        <v>7140</v>
      </c>
      <c r="S171" s="10">
        <f>IFERROR(R171/G171,0)</f>
        <v/>
      </c>
    </row>
    <row r="172">
      <c r="A172" s="7" t="n">
        <v>46158</v>
      </c>
      <c r="B172" s="5" t="inlineStr">
        <is>
          <t>Solara Fitband</t>
        </is>
      </c>
      <c r="C172" s="5" t="inlineStr">
        <is>
          <t>Consumer Electronics / Wearables</t>
        </is>
      </c>
      <c r="D172" s="5" t="inlineStr">
        <is>
          <t>B2C</t>
        </is>
      </c>
      <c r="E172" s="5" t="inlineStr">
        <is>
          <t>Facebook</t>
        </is>
      </c>
      <c r="F172" s="5" t="inlineStr">
        <is>
          <t>solarafitband.example.com</t>
        </is>
      </c>
      <c r="G172" s="8" t="n">
        <v>4316</v>
      </c>
      <c r="H172" s="8" t="n">
        <v>6634</v>
      </c>
      <c r="I172" s="8" t="n">
        <v>100</v>
      </c>
      <c r="J172" s="9">
        <f>I172/H172</f>
        <v/>
      </c>
      <c r="K172" s="8" t="n">
        <v>90</v>
      </c>
      <c r="L172" s="8" t="n">
        <v>2</v>
      </c>
      <c r="M172" s="5" t="inlineStr">
        <is>
          <t>N/A</t>
        </is>
      </c>
      <c r="N172" s="5" t="inlineStr">
        <is>
          <t>N/A</t>
        </is>
      </c>
      <c r="O172" s="8" t="inlineStr">
        <is>
          <t>N/A</t>
        </is>
      </c>
      <c r="P172" s="5" t="n">
        <v>2</v>
      </c>
      <c r="Q172" s="8">
        <f>IFERROR(G172/L172,0)</f>
        <v/>
      </c>
      <c r="R172" s="8" t="n">
        <v>11105</v>
      </c>
      <c r="S172" s="10">
        <f>IFERROR(R172/G172,0)</f>
        <v/>
      </c>
    </row>
    <row r="173">
      <c r="A173" s="7" t="n">
        <v>46159</v>
      </c>
      <c r="B173" s="5" t="inlineStr">
        <is>
          <t>Solara Fitband</t>
        </is>
      </c>
      <c r="C173" s="5" t="inlineStr">
        <is>
          <t>Consumer Electronics / Wearables</t>
        </is>
      </c>
      <c r="D173" s="5" t="inlineStr">
        <is>
          <t>B2C</t>
        </is>
      </c>
      <c r="E173" s="5" t="inlineStr">
        <is>
          <t>Facebook</t>
        </is>
      </c>
      <c r="F173" s="5" t="inlineStr">
        <is>
          <t>solarafitband.example.com</t>
        </is>
      </c>
      <c r="G173" s="8" t="n">
        <v>4264</v>
      </c>
      <c r="H173" s="8" t="n">
        <v>6115</v>
      </c>
      <c r="I173" s="8" t="n">
        <v>92</v>
      </c>
      <c r="J173" s="9">
        <f>I173/H173</f>
        <v/>
      </c>
      <c r="K173" s="8" t="n">
        <v>86</v>
      </c>
      <c r="L173" s="8" t="n">
        <v>2</v>
      </c>
      <c r="M173" s="5" t="inlineStr">
        <is>
          <t>N/A</t>
        </is>
      </c>
      <c r="N173" s="5" t="inlineStr">
        <is>
          <t>N/A</t>
        </is>
      </c>
      <c r="O173" s="8" t="inlineStr">
        <is>
          <t>N/A</t>
        </is>
      </c>
      <c r="P173" s="5" t="n">
        <v>2</v>
      </c>
      <c r="Q173" s="8">
        <f>IFERROR(G173/L173,0)</f>
        <v/>
      </c>
      <c r="R173" s="8" t="n">
        <v>10237</v>
      </c>
      <c r="S173" s="10">
        <f>IFERROR(R173/G173,0)</f>
        <v/>
      </c>
    </row>
    <row r="174">
      <c r="A174" s="7" t="n">
        <v>46160</v>
      </c>
      <c r="B174" s="5" t="inlineStr">
        <is>
          <t>Solara Fitband</t>
        </is>
      </c>
      <c r="C174" s="5" t="inlineStr">
        <is>
          <t>Consumer Electronics / Wearables</t>
        </is>
      </c>
      <c r="D174" s="5" t="inlineStr">
        <is>
          <t>B2C</t>
        </is>
      </c>
      <c r="E174" s="5" t="inlineStr">
        <is>
          <t>Facebook</t>
        </is>
      </c>
      <c r="F174" s="5" t="inlineStr">
        <is>
          <t>solarafitband.example.com</t>
        </is>
      </c>
      <c r="G174" s="8" t="n">
        <v>4652</v>
      </c>
      <c r="H174" s="8" t="n">
        <v>5835</v>
      </c>
      <c r="I174" s="8" t="n">
        <v>88</v>
      </c>
      <c r="J174" s="9">
        <f>I174/H174</f>
        <v/>
      </c>
      <c r="K174" s="8" t="n">
        <v>77</v>
      </c>
      <c r="L174" s="8" t="n">
        <v>2</v>
      </c>
      <c r="M174" s="5" t="inlineStr">
        <is>
          <t>N/A</t>
        </is>
      </c>
      <c r="N174" s="5" t="inlineStr">
        <is>
          <t>N/A</t>
        </is>
      </c>
      <c r="O174" s="8" t="inlineStr">
        <is>
          <t>N/A</t>
        </is>
      </c>
      <c r="P174" s="5" t="n">
        <v>2</v>
      </c>
      <c r="Q174" s="8">
        <f>IFERROR(G174/L174,0)</f>
        <v/>
      </c>
      <c r="R174" s="8" t="n">
        <v>9767</v>
      </c>
      <c r="S174" s="10">
        <f>IFERROR(R174/G174,0)</f>
        <v/>
      </c>
    </row>
    <row r="175">
      <c r="A175" s="7" t="n">
        <v>46161</v>
      </c>
      <c r="B175" s="5" t="inlineStr">
        <is>
          <t>Solara Fitband</t>
        </is>
      </c>
      <c r="C175" s="5" t="inlineStr">
        <is>
          <t>Consumer Electronics / Wearables</t>
        </is>
      </c>
      <c r="D175" s="5" t="inlineStr">
        <is>
          <t>B2C</t>
        </is>
      </c>
      <c r="E175" s="5" t="inlineStr">
        <is>
          <t>Facebook</t>
        </is>
      </c>
      <c r="F175" s="5" t="inlineStr">
        <is>
          <t>solarafitband.example.com</t>
        </is>
      </c>
      <c r="G175" s="8" t="n">
        <v>4246</v>
      </c>
      <c r="H175" s="8" t="n">
        <v>5638</v>
      </c>
      <c r="I175" s="8" t="n">
        <v>85</v>
      </c>
      <c r="J175" s="9">
        <f>I175/H175</f>
        <v/>
      </c>
      <c r="K175" s="8" t="n">
        <v>82</v>
      </c>
      <c r="L175" s="8" t="n">
        <v>2</v>
      </c>
      <c r="M175" s="5" t="inlineStr">
        <is>
          <t>N/A</t>
        </is>
      </c>
      <c r="N175" s="5" t="inlineStr">
        <is>
          <t>N/A</t>
        </is>
      </c>
      <c r="O175" s="8" t="inlineStr">
        <is>
          <t>N/A</t>
        </is>
      </c>
      <c r="P175" s="5" t="n">
        <v>2</v>
      </c>
      <c r="Q175" s="8">
        <f>IFERROR(G175/L175,0)</f>
        <v/>
      </c>
      <c r="R175" s="8" t="n">
        <v>9437</v>
      </c>
      <c r="S175" s="10">
        <f>IFERROR(R175/G175,0)</f>
        <v/>
      </c>
    </row>
    <row r="176">
      <c r="A176" s="7" t="n">
        <v>46162</v>
      </c>
      <c r="B176" s="5" t="inlineStr">
        <is>
          <t>Solara Fitband</t>
        </is>
      </c>
      <c r="C176" s="5" t="inlineStr">
        <is>
          <t>Consumer Electronics / Wearables</t>
        </is>
      </c>
      <c r="D176" s="5" t="inlineStr">
        <is>
          <t>B2C</t>
        </is>
      </c>
      <c r="E176" s="5" t="inlineStr">
        <is>
          <t>Facebook</t>
        </is>
      </c>
      <c r="F176" s="5" t="inlineStr">
        <is>
          <t>solarafitband.example.com</t>
        </is>
      </c>
      <c r="G176" s="8" t="n">
        <v>4091</v>
      </c>
      <c r="H176" s="8" t="n">
        <v>4609</v>
      </c>
      <c r="I176" s="8" t="n">
        <v>69</v>
      </c>
      <c r="J176" s="9">
        <f>I176/H176</f>
        <v/>
      </c>
      <c r="K176" s="8" t="n">
        <v>66</v>
      </c>
      <c r="L176" s="8" t="n">
        <v>1</v>
      </c>
      <c r="M176" s="5" t="inlineStr">
        <is>
          <t>N/A</t>
        </is>
      </c>
      <c r="N176" s="5" t="inlineStr">
        <is>
          <t>N/A</t>
        </is>
      </c>
      <c r="O176" s="8" t="inlineStr">
        <is>
          <t>N/A</t>
        </is>
      </c>
      <c r="P176" s="5" t="n">
        <v>1</v>
      </c>
      <c r="Q176" s="8">
        <f>IFERROR(G176/L176,0)</f>
        <v/>
      </c>
      <c r="R176" s="8" t="n">
        <v>7715</v>
      </c>
      <c r="S176" s="10">
        <f>IFERROR(R176/G176,0)</f>
        <v/>
      </c>
    </row>
    <row r="177">
      <c r="A177" s="7" t="n">
        <v>46163</v>
      </c>
      <c r="B177" s="5" t="inlineStr">
        <is>
          <t>Solara Fitband</t>
        </is>
      </c>
      <c r="C177" s="5" t="inlineStr">
        <is>
          <t>Consumer Electronics / Wearables</t>
        </is>
      </c>
      <c r="D177" s="5" t="inlineStr">
        <is>
          <t>B2C</t>
        </is>
      </c>
      <c r="E177" s="5" t="inlineStr">
        <is>
          <t>Facebook</t>
        </is>
      </c>
      <c r="F177" s="5" t="inlineStr">
        <is>
          <t>solarafitband.example.com</t>
        </is>
      </c>
      <c r="G177" s="8" t="n">
        <v>4148</v>
      </c>
      <c r="H177" s="8" t="n">
        <v>4997</v>
      </c>
      <c r="I177" s="8" t="n">
        <v>75</v>
      </c>
      <c r="J177" s="9">
        <f>I177/H177</f>
        <v/>
      </c>
      <c r="K177" s="8" t="n">
        <v>67</v>
      </c>
      <c r="L177" s="8" t="n">
        <v>1</v>
      </c>
      <c r="M177" s="5" t="inlineStr">
        <is>
          <t>N/A</t>
        </is>
      </c>
      <c r="N177" s="5" t="inlineStr">
        <is>
          <t>N/A</t>
        </is>
      </c>
      <c r="O177" s="8" t="inlineStr">
        <is>
          <t>N/A</t>
        </is>
      </c>
      <c r="P177" s="5" t="n">
        <v>1</v>
      </c>
      <c r="Q177" s="8">
        <f>IFERROR(G177/L177,0)</f>
        <v/>
      </c>
      <c r="R177" s="8" t="n">
        <v>8365</v>
      </c>
      <c r="S177" s="10">
        <f>IFERROR(R177/G177,0)</f>
        <v/>
      </c>
    </row>
    <row r="178">
      <c r="A178" s="7" t="n">
        <v>46164</v>
      </c>
      <c r="B178" s="5" t="inlineStr">
        <is>
          <t>Solara Fitband</t>
        </is>
      </c>
      <c r="C178" s="5" t="inlineStr">
        <is>
          <t>Consumer Electronics / Wearables</t>
        </is>
      </c>
      <c r="D178" s="5" t="inlineStr">
        <is>
          <t>B2C</t>
        </is>
      </c>
      <c r="E178" s="5" t="inlineStr">
        <is>
          <t>Facebook</t>
        </is>
      </c>
      <c r="F178" s="5" t="inlineStr">
        <is>
          <t>solarafitband.example.com</t>
        </is>
      </c>
      <c r="G178" s="8" t="n">
        <v>4683</v>
      </c>
      <c r="H178" s="8" t="n">
        <v>6019</v>
      </c>
      <c r="I178" s="8" t="n">
        <v>90</v>
      </c>
      <c r="J178" s="9">
        <f>I178/H178</f>
        <v/>
      </c>
      <c r="K178" s="8" t="n">
        <v>84</v>
      </c>
      <c r="L178" s="8" t="n">
        <v>2</v>
      </c>
      <c r="M178" s="5" t="inlineStr">
        <is>
          <t>N/A</t>
        </is>
      </c>
      <c r="N178" s="5" t="inlineStr">
        <is>
          <t>N/A</t>
        </is>
      </c>
      <c r="O178" s="8" t="inlineStr">
        <is>
          <t>N/A</t>
        </is>
      </c>
      <c r="P178" s="5" t="n">
        <v>2</v>
      </c>
      <c r="Q178" s="8">
        <f>IFERROR(G178/L178,0)</f>
        <v/>
      </c>
      <c r="R178" s="8" t="n">
        <v>10076</v>
      </c>
      <c r="S178" s="10">
        <f>IFERROR(R178/G178,0)</f>
        <v/>
      </c>
    </row>
    <row r="179">
      <c r="A179" s="7" t="n">
        <v>46165</v>
      </c>
      <c r="B179" s="5" t="inlineStr">
        <is>
          <t>Solara Fitband</t>
        </is>
      </c>
      <c r="C179" s="5" t="inlineStr">
        <is>
          <t>Consumer Electronics / Wearables</t>
        </is>
      </c>
      <c r="D179" s="5" t="inlineStr">
        <is>
          <t>B2C</t>
        </is>
      </c>
      <c r="E179" s="5" t="inlineStr">
        <is>
          <t>Facebook</t>
        </is>
      </c>
      <c r="F179" s="5" t="inlineStr">
        <is>
          <t>solarafitband.example.com</t>
        </is>
      </c>
      <c r="G179" s="8" t="n">
        <v>4461</v>
      </c>
      <c r="H179" s="8" t="n">
        <v>7033</v>
      </c>
      <c r="I179" s="8" t="n">
        <v>106</v>
      </c>
      <c r="J179" s="9">
        <f>I179/H179</f>
        <v/>
      </c>
      <c r="K179" s="8" t="n">
        <v>92</v>
      </c>
      <c r="L179" s="8" t="n">
        <v>2</v>
      </c>
      <c r="M179" s="5" t="inlineStr">
        <is>
          <t>N/A</t>
        </is>
      </c>
      <c r="N179" s="5" t="inlineStr">
        <is>
          <t>N/A</t>
        </is>
      </c>
      <c r="O179" s="8" t="inlineStr">
        <is>
          <t>N/A</t>
        </is>
      </c>
      <c r="P179" s="5" t="n">
        <v>2</v>
      </c>
      <c r="Q179" s="8">
        <f>IFERROR(G179/L179,0)</f>
        <v/>
      </c>
      <c r="R179" s="8" t="n">
        <v>11774</v>
      </c>
      <c r="S179" s="10">
        <f>IFERROR(R179/G179,0)</f>
        <v/>
      </c>
    </row>
    <row r="180">
      <c r="A180" s="7" t="n">
        <v>46166</v>
      </c>
      <c r="B180" s="5" t="inlineStr">
        <is>
          <t>Solara Fitband</t>
        </is>
      </c>
      <c r="C180" s="5" t="inlineStr">
        <is>
          <t>Consumer Electronics / Wearables</t>
        </is>
      </c>
      <c r="D180" s="5" t="inlineStr">
        <is>
          <t>B2C</t>
        </is>
      </c>
      <c r="E180" s="5" t="inlineStr">
        <is>
          <t>Facebook</t>
        </is>
      </c>
      <c r="F180" s="5" t="inlineStr">
        <is>
          <t>solarafitband.example.com</t>
        </is>
      </c>
      <c r="G180" s="8" t="n">
        <v>4184</v>
      </c>
      <c r="H180" s="8" t="n">
        <v>5307</v>
      </c>
      <c r="I180" s="8" t="n">
        <v>80</v>
      </c>
      <c r="J180" s="9">
        <f>I180/H180</f>
        <v/>
      </c>
      <c r="K180" s="8" t="n">
        <v>78</v>
      </c>
      <c r="L180" s="8" t="n">
        <v>1</v>
      </c>
      <c r="M180" s="5" t="inlineStr">
        <is>
          <t>N/A</t>
        </is>
      </c>
      <c r="N180" s="5" t="inlineStr">
        <is>
          <t>N/A</t>
        </is>
      </c>
      <c r="O180" s="8" t="inlineStr">
        <is>
          <t>N/A</t>
        </is>
      </c>
      <c r="P180" s="5" t="n">
        <v>1</v>
      </c>
      <c r="Q180" s="8">
        <f>IFERROR(G180/L180,0)</f>
        <v/>
      </c>
      <c r="R180" s="8" t="n">
        <v>8885</v>
      </c>
      <c r="S180" s="10">
        <f>IFERROR(R180/G180,0)</f>
        <v/>
      </c>
    </row>
    <row r="181">
      <c r="A181" s="7" t="n">
        <v>46167</v>
      </c>
      <c r="B181" s="5" t="inlineStr">
        <is>
          <t>Solara Fitband</t>
        </is>
      </c>
      <c r="C181" s="5" t="inlineStr">
        <is>
          <t>Consumer Electronics / Wearables</t>
        </is>
      </c>
      <c r="D181" s="5" t="inlineStr">
        <is>
          <t>B2C</t>
        </is>
      </c>
      <c r="E181" s="5" t="inlineStr">
        <is>
          <t>Facebook</t>
        </is>
      </c>
      <c r="F181" s="5" t="inlineStr">
        <is>
          <t>solarafitband.example.com</t>
        </is>
      </c>
      <c r="G181" s="8" t="n">
        <v>4229</v>
      </c>
      <c r="H181" s="8" t="n">
        <v>6257</v>
      </c>
      <c r="I181" s="8" t="n">
        <v>94</v>
      </c>
      <c r="J181" s="9">
        <f>I181/H181</f>
        <v/>
      </c>
      <c r="K181" s="8" t="n">
        <v>91</v>
      </c>
      <c r="L181" s="8" t="n">
        <v>2</v>
      </c>
      <c r="M181" s="5" t="inlineStr">
        <is>
          <t>N/A</t>
        </is>
      </c>
      <c r="N181" s="5" t="inlineStr">
        <is>
          <t>N/A</t>
        </is>
      </c>
      <c r="O181" s="8" t="inlineStr">
        <is>
          <t>N/A</t>
        </is>
      </c>
      <c r="P181" s="5" t="n">
        <v>2</v>
      </c>
      <c r="Q181" s="8">
        <f>IFERROR(G181/L181,0)</f>
        <v/>
      </c>
      <c r="R181" s="8" t="n">
        <v>10474</v>
      </c>
      <c r="S181" s="10">
        <f>IFERROR(R181/G181,0)</f>
        <v/>
      </c>
    </row>
    <row r="182">
      <c r="A182" s="7" t="n">
        <v>46168</v>
      </c>
      <c r="B182" s="5" t="inlineStr">
        <is>
          <t>Solara Fitband</t>
        </is>
      </c>
      <c r="C182" s="5" t="inlineStr">
        <is>
          <t>Consumer Electronics / Wearables</t>
        </is>
      </c>
      <c r="D182" s="5" t="inlineStr">
        <is>
          <t>B2C</t>
        </is>
      </c>
      <c r="E182" s="5" t="inlineStr">
        <is>
          <t>Facebook</t>
        </is>
      </c>
      <c r="F182" s="5" t="inlineStr">
        <is>
          <t>solarafitband.example.com</t>
        </is>
      </c>
      <c r="G182" s="8" t="n">
        <v>3828</v>
      </c>
      <c r="H182" s="8" t="n">
        <v>4920</v>
      </c>
      <c r="I182" s="8" t="n">
        <v>74</v>
      </c>
      <c r="J182" s="9">
        <f>I182/H182</f>
        <v/>
      </c>
      <c r="K182" s="8" t="n">
        <v>72</v>
      </c>
      <c r="L182" s="8" t="n">
        <v>1</v>
      </c>
      <c r="M182" s="5" t="inlineStr">
        <is>
          <t>N/A</t>
        </is>
      </c>
      <c r="N182" s="5" t="inlineStr">
        <is>
          <t>N/A</t>
        </is>
      </c>
      <c r="O182" s="8" t="inlineStr">
        <is>
          <t>N/A</t>
        </is>
      </c>
      <c r="P182" s="5" t="n">
        <v>1</v>
      </c>
      <c r="Q182" s="8">
        <f>IFERROR(G182/L182,0)</f>
        <v/>
      </c>
      <c r="R182" s="8" t="n">
        <v>8236</v>
      </c>
      <c r="S182" s="10">
        <f>IFERROR(R182/G182,0)</f>
        <v/>
      </c>
    </row>
    <row r="183">
      <c r="A183" s="7" t="n">
        <v>46169</v>
      </c>
      <c r="B183" s="5" t="inlineStr">
        <is>
          <t>Solara Fitband</t>
        </is>
      </c>
      <c r="C183" s="5" t="inlineStr">
        <is>
          <t>Consumer Electronics / Wearables</t>
        </is>
      </c>
      <c r="D183" s="5" t="inlineStr">
        <is>
          <t>B2C</t>
        </is>
      </c>
      <c r="E183" s="5" t="inlineStr">
        <is>
          <t>Facebook</t>
        </is>
      </c>
      <c r="F183" s="5" t="inlineStr">
        <is>
          <t>solarafitband.example.com</t>
        </is>
      </c>
      <c r="G183" s="8" t="n">
        <v>4417</v>
      </c>
      <c r="H183" s="8" t="n">
        <v>6249</v>
      </c>
      <c r="I183" s="8" t="n">
        <v>94</v>
      </c>
      <c r="J183" s="9">
        <f>I183/H183</f>
        <v/>
      </c>
      <c r="K183" s="8" t="n">
        <v>84</v>
      </c>
      <c r="L183" s="8" t="n">
        <v>2</v>
      </c>
      <c r="M183" s="5" t="inlineStr">
        <is>
          <t>N/A</t>
        </is>
      </c>
      <c r="N183" s="5" t="inlineStr">
        <is>
          <t>N/A</t>
        </is>
      </c>
      <c r="O183" s="8" t="inlineStr">
        <is>
          <t>N/A</t>
        </is>
      </c>
      <c r="P183" s="5" t="n">
        <v>2</v>
      </c>
      <c r="Q183" s="8">
        <f>IFERROR(G183/L183,0)</f>
        <v/>
      </c>
      <c r="R183" s="8" t="n">
        <v>10461</v>
      </c>
      <c r="S183" s="10">
        <f>IFERROR(R183/G183,0)</f>
        <v/>
      </c>
    </row>
    <row r="184">
      <c r="A184" s="7" t="n">
        <v>46170</v>
      </c>
      <c r="B184" s="5" t="inlineStr">
        <is>
          <t>Solara Fitband</t>
        </is>
      </c>
      <c r="C184" s="5" t="inlineStr">
        <is>
          <t>Consumer Electronics / Wearables</t>
        </is>
      </c>
      <c r="D184" s="5" t="inlineStr">
        <is>
          <t>B2C</t>
        </is>
      </c>
      <c r="E184" s="5" t="inlineStr">
        <is>
          <t>Facebook</t>
        </is>
      </c>
      <c r="F184" s="5" t="inlineStr">
        <is>
          <t>solarafitband.example.com</t>
        </is>
      </c>
      <c r="G184" s="8" t="n">
        <v>3770</v>
      </c>
      <c r="H184" s="8" t="n">
        <v>5092</v>
      </c>
      <c r="I184" s="8" t="n">
        <v>76</v>
      </c>
      <c r="J184" s="9">
        <f>I184/H184</f>
        <v/>
      </c>
      <c r="K184" s="8" t="n">
        <v>67</v>
      </c>
      <c r="L184" s="8" t="n">
        <v>1</v>
      </c>
      <c r="M184" s="5" t="inlineStr">
        <is>
          <t>N/A</t>
        </is>
      </c>
      <c r="N184" s="5" t="inlineStr">
        <is>
          <t>N/A</t>
        </is>
      </c>
      <c r="O184" s="8" t="inlineStr">
        <is>
          <t>N/A</t>
        </is>
      </c>
      <c r="P184" s="5" t="n">
        <v>1</v>
      </c>
      <c r="Q184" s="8">
        <f>IFERROR(G184/L184,0)</f>
        <v/>
      </c>
      <c r="R184" s="8" t="n">
        <v>8525</v>
      </c>
      <c r="S184" s="10">
        <f>IFERROR(R184/G184,0)</f>
        <v/>
      </c>
    </row>
    <row r="185">
      <c r="A185" s="7" t="n">
        <v>46171</v>
      </c>
      <c r="B185" s="5" t="inlineStr">
        <is>
          <t>Solara Fitband</t>
        </is>
      </c>
      <c r="C185" s="5" t="inlineStr">
        <is>
          <t>Consumer Electronics / Wearables</t>
        </is>
      </c>
      <c r="D185" s="5" t="inlineStr">
        <is>
          <t>B2C</t>
        </is>
      </c>
      <c r="E185" s="5" t="inlineStr">
        <is>
          <t>Facebook</t>
        </is>
      </c>
      <c r="F185" s="5" t="inlineStr">
        <is>
          <t>solarafitband.example.com</t>
        </is>
      </c>
      <c r="G185" s="8" t="n">
        <v>4526</v>
      </c>
      <c r="H185" s="8" t="n">
        <v>6870</v>
      </c>
      <c r="I185" s="8" t="n">
        <v>103</v>
      </c>
      <c r="J185" s="9">
        <f>I185/H185</f>
        <v/>
      </c>
      <c r="K185" s="8" t="n">
        <v>90</v>
      </c>
      <c r="L185" s="8" t="n">
        <v>2</v>
      </c>
      <c r="M185" s="5" t="inlineStr">
        <is>
          <t>N/A</t>
        </is>
      </c>
      <c r="N185" s="5" t="inlineStr">
        <is>
          <t>N/A</t>
        </is>
      </c>
      <c r="O185" s="8" t="inlineStr">
        <is>
          <t>N/A</t>
        </is>
      </c>
      <c r="P185" s="5" t="n">
        <v>2</v>
      </c>
      <c r="Q185" s="8">
        <f>IFERROR(G185/L185,0)</f>
        <v/>
      </c>
      <c r="R185" s="8" t="n">
        <v>11501</v>
      </c>
      <c r="S185" s="10">
        <f>IFERROR(R185/G185,0)</f>
        <v/>
      </c>
    </row>
    <row r="186">
      <c r="A186" s="7" t="n">
        <v>46172</v>
      </c>
      <c r="B186" s="5" t="inlineStr">
        <is>
          <t>Solara Fitband</t>
        </is>
      </c>
      <c r="C186" s="5" t="inlineStr">
        <is>
          <t>Consumer Electronics / Wearables</t>
        </is>
      </c>
      <c r="D186" s="5" t="inlineStr">
        <is>
          <t>B2C</t>
        </is>
      </c>
      <c r="E186" s="5" t="inlineStr">
        <is>
          <t>Facebook</t>
        </is>
      </c>
      <c r="F186" s="5" t="inlineStr">
        <is>
          <t>solarafitband.example.com</t>
        </is>
      </c>
      <c r="G186" s="8" t="n">
        <v>4339</v>
      </c>
      <c r="H186" s="8" t="n">
        <v>5579</v>
      </c>
      <c r="I186" s="8" t="n">
        <v>84</v>
      </c>
      <c r="J186" s="9">
        <f>I186/H186</f>
        <v/>
      </c>
      <c r="K186" s="8" t="n">
        <v>72</v>
      </c>
      <c r="L186" s="8" t="n">
        <v>2</v>
      </c>
      <c r="M186" s="5" t="inlineStr">
        <is>
          <t>N/A</t>
        </is>
      </c>
      <c r="N186" s="5" t="inlineStr">
        <is>
          <t>N/A</t>
        </is>
      </c>
      <c r="O186" s="8" t="inlineStr">
        <is>
          <t>N/A</t>
        </is>
      </c>
      <c r="P186" s="5" t="n">
        <v>2</v>
      </c>
      <c r="Q186" s="8">
        <f>IFERROR(G186/L186,0)</f>
        <v/>
      </c>
      <c r="R186" s="8" t="n">
        <v>9339</v>
      </c>
      <c r="S186" s="10">
        <f>IFERROR(R186/G186,0)</f>
        <v/>
      </c>
    </row>
    <row r="187">
      <c r="A187" s="7" t="n">
        <v>46173</v>
      </c>
      <c r="B187" s="5" t="inlineStr">
        <is>
          <t>Solara Fitband</t>
        </is>
      </c>
      <c r="C187" s="5" t="inlineStr">
        <is>
          <t>Consumer Electronics / Wearables</t>
        </is>
      </c>
      <c r="D187" s="5" t="inlineStr">
        <is>
          <t>B2C</t>
        </is>
      </c>
      <c r="E187" s="5" t="inlineStr">
        <is>
          <t>Facebook</t>
        </is>
      </c>
      <c r="F187" s="5" t="inlineStr">
        <is>
          <t>solarafitband.example.com</t>
        </is>
      </c>
      <c r="G187" s="8" t="n">
        <v>5018</v>
      </c>
      <c r="H187" s="8" t="n">
        <v>5594</v>
      </c>
      <c r="I187" s="8" t="n">
        <v>84</v>
      </c>
      <c r="J187" s="9">
        <f>I187/H187</f>
        <v/>
      </c>
      <c r="K187" s="8" t="n">
        <v>73</v>
      </c>
      <c r="L187" s="8" t="n">
        <v>2</v>
      </c>
      <c r="M187" s="5" t="inlineStr">
        <is>
          <t>N/A</t>
        </is>
      </c>
      <c r="N187" s="5" t="inlineStr">
        <is>
          <t>N/A</t>
        </is>
      </c>
      <c r="O187" s="8" t="inlineStr">
        <is>
          <t>N/A</t>
        </is>
      </c>
      <c r="P187" s="5" t="n">
        <v>2</v>
      </c>
      <c r="Q187" s="8">
        <f>IFERROR(G187/L187,0)</f>
        <v/>
      </c>
      <c r="R187" s="8" t="n">
        <v>9364</v>
      </c>
      <c r="S187" s="10">
        <f>IFERROR(R187/G187,0)</f>
        <v/>
      </c>
    </row>
    <row r="188">
      <c r="A188" s="7" t="n">
        <v>46143</v>
      </c>
      <c r="B188" s="5" t="inlineStr">
        <is>
          <t>Aurelia Jewellery</t>
        </is>
      </c>
      <c r="C188" s="5" t="inlineStr">
        <is>
          <t>Luxury / Jewellery</t>
        </is>
      </c>
      <c r="D188" s="5" t="inlineStr">
        <is>
          <t>B2C</t>
        </is>
      </c>
      <c r="E188" s="5" t="inlineStr">
        <is>
          <t>Instagram</t>
        </is>
      </c>
      <c r="F188" s="5" t="inlineStr">
        <is>
          <t>aureliajewellery.example.com</t>
        </is>
      </c>
      <c r="G188" s="8" t="n">
        <v>5054</v>
      </c>
      <c r="H188" s="8" t="n">
        <v>2543</v>
      </c>
      <c r="I188" s="8" t="n">
        <v>43</v>
      </c>
      <c r="J188" s="9">
        <f>I188/H188</f>
        <v/>
      </c>
      <c r="K188" s="8" t="n">
        <v>40</v>
      </c>
      <c r="L188" s="8" t="n">
        <v>1</v>
      </c>
      <c r="M188" s="5" t="inlineStr">
        <is>
          <t>N/A</t>
        </is>
      </c>
      <c r="N188" s="5" t="inlineStr">
        <is>
          <t>N/A</t>
        </is>
      </c>
      <c r="O188" s="8" t="inlineStr">
        <is>
          <t>N/A</t>
        </is>
      </c>
      <c r="P188" s="5" t="n">
        <v>1</v>
      </c>
      <c r="Q188" s="8">
        <f>IFERROR(G188/L188,0)</f>
        <v/>
      </c>
      <c r="R188" s="8" t="n">
        <v>16018</v>
      </c>
      <c r="S188" s="10">
        <f>IFERROR(R188/G188,0)</f>
        <v/>
      </c>
    </row>
    <row r="189">
      <c r="A189" s="7" t="n">
        <v>46144</v>
      </c>
      <c r="B189" s="5" t="inlineStr">
        <is>
          <t>Aurelia Jewellery</t>
        </is>
      </c>
      <c r="C189" s="5" t="inlineStr">
        <is>
          <t>Luxury / Jewellery</t>
        </is>
      </c>
      <c r="D189" s="5" t="inlineStr">
        <is>
          <t>B2C</t>
        </is>
      </c>
      <c r="E189" s="5" t="inlineStr">
        <is>
          <t>Instagram</t>
        </is>
      </c>
      <c r="F189" s="5" t="inlineStr">
        <is>
          <t>aureliajewellery.example.com</t>
        </is>
      </c>
      <c r="G189" s="8" t="n">
        <v>6013</v>
      </c>
      <c r="H189" s="8" t="n">
        <v>3674</v>
      </c>
      <c r="I189" s="8" t="n">
        <v>62</v>
      </c>
      <c r="J189" s="9">
        <f>I189/H189</f>
        <v/>
      </c>
      <c r="K189" s="8" t="n">
        <v>57</v>
      </c>
      <c r="L189" s="8" t="n">
        <v>1</v>
      </c>
      <c r="M189" s="5" t="inlineStr">
        <is>
          <t>N/A</t>
        </is>
      </c>
      <c r="N189" s="5" t="inlineStr">
        <is>
          <t>N/A</t>
        </is>
      </c>
      <c r="O189" s="8" t="inlineStr">
        <is>
          <t>N/A</t>
        </is>
      </c>
      <c r="P189" s="5" t="n">
        <v>1</v>
      </c>
      <c r="Q189" s="8">
        <f>IFERROR(G189/L189,0)</f>
        <v/>
      </c>
      <c r="R189" s="8" t="n">
        <v>23142</v>
      </c>
      <c r="S189" s="10">
        <f>IFERROR(R189/G189,0)</f>
        <v/>
      </c>
    </row>
    <row r="190">
      <c r="A190" s="7" t="n">
        <v>46145</v>
      </c>
      <c r="B190" s="5" t="inlineStr">
        <is>
          <t>Aurelia Jewellery</t>
        </is>
      </c>
      <c r="C190" s="5" t="inlineStr">
        <is>
          <t>Luxury / Jewellery</t>
        </is>
      </c>
      <c r="D190" s="5" t="inlineStr">
        <is>
          <t>B2C</t>
        </is>
      </c>
      <c r="E190" s="5" t="inlineStr">
        <is>
          <t>Instagram</t>
        </is>
      </c>
      <c r="F190" s="5" t="inlineStr">
        <is>
          <t>aureliajewellery.example.com</t>
        </is>
      </c>
      <c r="G190" s="8" t="n">
        <v>5718</v>
      </c>
      <c r="H190" s="8" t="n">
        <v>3320</v>
      </c>
      <c r="I190" s="8" t="n">
        <v>56</v>
      </c>
      <c r="J190" s="9">
        <f>I190/H190</f>
        <v/>
      </c>
      <c r="K190" s="8" t="n">
        <v>55</v>
      </c>
      <c r="L190" s="8" t="n">
        <v>1</v>
      </c>
      <c r="M190" s="5" t="inlineStr">
        <is>
          <t>N/A</t>
        </is>
      </c>
      <c r="N190" s="5" t="inlineStr">
        <is>
          <t>N/A</t>
        </is>
      </c>
      <c r="O190" s="8" t="inlineStr">
        <is>
          <t>N/A</t>
        </is>
      </c>
      <c r="P190" s="5" t="n">
        <v>1</v>
      </c>
      <c r="Q190" s="8">
        <f>IFERROR(G190/L190,0)</f>
        <v/>
      </c>
      <c r="R190" s="8" t="n">
        <v>20909</v>
      </c>
      <c r="S190" s="10">
        <f>IFERROR(R190/G190,0)</f>
        <v/>
      </c>
    </row>
    <row r="191">
      <c r="A191" s="7" t="n">
        <v>46146</v>
      </c>
      <c r="B191" s="5" t="inlineStr">
        <is>
          <t>Aurelia Jewellery</t>
        </is>
      </c>
      <c r="C191" s="5" t="inlineStr">
        <is>
          <t>Luxury / Jewellery</t>
        </is>
      </c>
      <c r="D191" s="5" t="inlineStr">
        <is>
          <t>B2C</t>
        </is>
      </c>
      <c r="E191" s="5" t="inlineStr">
        <is>
          <t>Instagram</t>
        </is>
      </c>
      <c r="F191" s="5" t="inlineStr">
        <is>
          <t>aureliajewellery.example.com</t>
        </is>
      </c>
      <c r="G191" s="8" t="n">
        <v>5336</v>
      </c>
      <c r="H191" s="8" t="n">
        <v>3472</v>
      </c>
      <c r="I191" s="8" t="n">
        <v>59</v>
      </c>
      <c r="J191" s="9">
        <f>I191/H191</f>
        <v/>
      </c>
      <c r="K191" s="8" t="n">
        <v>54</v>
      </c>
      <c r="L191" s="8" t="n">
        <v>1</v>
      </c>
      <c r="M191" s="5" t="inlineStr">
        <is>
          <t>N/A</t>
        </is>
      </c>
      <c r="N191" s="5" t="inlineStr">
        <is>
          <t>N/A</t>
        </is>
      </c>
      <c r="O191" s="8" t="inlineStr">
        <is>
          <t>N/A</t>
        </is>
      </c>
      <c r="P191" s="5" t="n">
        <v>1</v>
      </c>
      <c r="Q191" s="8">
        <f>IFERROR(G191/L191,0)</f>
        <v/>
      </c>
      <c r="R191" s="8" t="n">
        <v>21866</v>
      </c>
      <c r="S191" s="10">
        <f>IFERROR(R191/G191,0)</f>
        <v/>
      </c>
    </row>
    <row r="192">
      <c r="A192" s="7" t="n">
        <v>46147</v>
      </c>
      <c r="B192" s="5" t="inlineStr">
        <is>
          <t>Aurelia Jewellery</t>
        </is>
      </c>
      <c r="C192" s="5" t="inlineStr">
        <is>
          <t>Luxury / Jewellery</t>
        </is>
      </c>
      <c r="D192" s="5" t="inlineStr">
        <is>
          <t>B2C</t>
        </is>
      </c>
      <c r="E192" s="5" t="inlineStr">
        <is>
          <t>Instagram</t>
        </is>
      </c>
      <c r="F192" s="5" t="inlineStr">
        <is>
          <t>aureliajewellery.example.com</t>
        </is>
      </c>
      <c r="G192" s="8" t="n">
        <v>4951</v>
      </c>
      <c r="H192" s="8" t="n">
        <v>3400</v>
      </c>
      <c r="I192" s="8" t="n">
        <v>58</v>
      </c>
      <c r="J192" s="9">
        <f>I192/H192</f>
        <v/>
      </c>
      <c r="K192" s="8" t="n">
        <v>50</v>
      </c>
      <c r="L192" s="8" t="n">
        <v>1</v>
      </c>
      <c r="M192" s="5" t="inlineStr">
        <is>
          <t>N/A</t>
        </is>
      </c>
      <c r="N192" s="5" t="inlineStr">
        <is>
          <t>N/A</t>
        </is>
      </c>
      <c r="O192" s="8" t="inlineStr">
        <is>
          <t>N/A</t>
        </is>
      </c>
      <c r="P192" s="5" t="n">
        <v>1</v>
      </c>
      <c r="Q192" s="8">
        <f>IFERROR(G192/L192,0)</f>
        <v/>
      </c>
      <c r="R192" s="8" t="n">
        <v>21414</v>
      </c>
      <c r="S192" s="10">
        <f>IFERROR(R192/G192,0)</f>
        <v/>
      </c>
    </row>
    <row r="193">
      <c r="A193" s="7" t="n">
        <v>46148</v>
      </c>
      <c r="B193" s="5" t="inlineStr">
        <is>
          <t>Aurelia Jewellery</t>
        </is>
      </c>
      <c r="C193" s="5" t="inlineStr">
        <is>
          <t>Luxury / Jewellery</t>
        </is>
      </c>
      <c r="D193" s="5" t="inlineStr">
        <is>
          <t>B2C</t>
        </is>
      </c>
      <c r="E193" s="5" t="inlineStr">
        <is>
          <t>Instagram</t>
        </is>
      </c>
      <c r="F193" s="5" t="inlineStr">
        <is>
          <t>aureliajewellery.example.com</t>
        </is>
      </c>
      <c r="G193" s="8" t="n">
        <v>5104</v>
      </c>
      <c r="H193" s="8" t="n">
        <v>2414</v>
      </c>
      <c r="I193" s="8" t="n">
        <v>41</v>
      </c>
      <c r="J193" s="9">
        <f>I193/H193</f>
        <v/>
      </c>
      <c r="K193" s="8" t="n">
        <v>36</v>
      </c>
      <c r="L193" s="8" t="n">
        <v>1</v>
      </c>
      <c r="M193" s="5" t="inlineStr">
        <is>
          <t>N/A</t>
        </is>
      </c>
      <c r="N193" s="5" t="inlineStr">
        <is>
          <t>N/A</t>
        </is>
      </c>
      <c r="O193" s="8" t="inlineStr">
        <is>
          <t>N/A</t>
        </is>
      </c>
      <c r="P193" s="5" t="n">
        <v>1</v>
      </c>
      <c r="Q193" s="8">
        <f>IFERROR(G193/L193,0)</f>
        <v/>
      </c>
      <c r="R193" s="8" t="n">
        <v>15206</v>
      </c>
      <c r="S193" s="10">
        <f>IFERROR(R193/G193,0)</f>
        <v/>
      </c>
    </row>
    <row r="194">
      <c r="A194" s="7" t="n">
        <v>46149</v>
      </c>
      <c r="B194" s="5" t="inlineStr">
        <is>
          <t>Aurelia Jewellery</t>
        </is>
      </c>
      <c r="C194" s="5" t="inlineStr">
        <is>
          <t>Luxury / Jewellery</t>
        </is>
      </c>
      <c r="D194" s="5" t="inlineStr">
        <is>
          <t>B2C</t>
        </is>
      </c>
      <c r="E194" s="5" t="inlineStr">
        <is>
          <t>Instagram</t>
        </is>
      </c>
      <c r="F194" s="5" t="inlineStr">
        <is>
          <t>aureliajewellery.example.com</t>
        </is>
      </c>
      <c r="G194" s="8" t="n">
        <v>5327</v>
      </c>
      <c r="H194" s="8" t="n">
        <v>2900</v>
      </c>
      <c r="I194" s="8" t="n">
        <v>49</v>
      </c>
      <c r="J194" s="9">
        <f>I194/H194</f>
        <v/>
      </c>
      <c r="K194" s="8" t="n">
        <v>43</v>
      </c>
      <c r="L194" s="8" t="n">
        <v>1</v>
      </c>
      <c r="M194" s="5" t="inlineStr">
        <is>
          <t>N/A</t>
        </is>
      </c>
      <c r="N194" s="5" t="inlineStr">
        <is>
          <t>N/A</t>
        </is>
      </c>
      <c r="O194" s="8" t="inlineStr">
        <is>
          <t>N/A</t>
        </is>
      </c>
      <c r="P194" s="5" t="n">
        <v>1</v>
      </c>
      <c r="Q194" s="8">
        <f>IFERROR(G194/L194,0)</f>
        <v/>
      </c>
      <c r="R194" s="8" t="n">
        <v>18265</v>
      </c>
      <c r="S194" s="10">
        <f>IFERROR(R194/G194,0)</f>
        <v/>
      </c>
    </row>
    <row r="195">
      <c r="A195" s="7" t="n">
        <v>46150</v>
      </c>
      <c r="B195" s="5" t="inlineStr">
        <is>
          <t>Aurelia Jewellery</t>
        </is>
      </c>
      <c r="C195" s="5" t="inlineStr">
        <is>
          <t>Luxury / Jewellery</t>
        </is>
      </c>
      <c r="D195" s="5" t="inlineStr">
        <is>
          <t>B2C</t>
        </is>
      </c>
      <c r="E195" s="5" t="inlineStr">
        <is>
          <t>Instagram</t>
        </is>
      </c>
      <c r="F195" s="5" t="inlineStr">
        <is>
          <t>aureliajewellery.example.com</t>
        </is>
      </c>
      <c r="G195" s="8" t="n">
        <v>5314</v>
      </c>
      <c r="H195" s="8" t="n">
        <v>2464</v>
      </c>
      <c r="I195" s="8" t="n">
        <v>42</v>
      </c>
      <c r="J195" s="9">
        <f>I195/H195</f>
        <v/>
      </c>
      <c r="K195" s="8" t="n">
        <v>36</v>
      </c>
      <c r="L195" s="8" t="n">
        <v>1</v>
      </c>
      <c r="M195" s="5" t="inlineStr">
        <is>
          <t>N/A</t>
        </is>
      </c>
      <c r="N195" s="5" t="inlineStr">
        <is>
          <t>N/A</t>
        </is>
      </c>
      <c r="O195" s="8" t="inlineStr">
        <is>
          <t>N/A</t>
        </is>
      </c>
      <c r="P195" s="5" t="n">
        <v>1</v>
      </c>
      <c r="Q195" s="8">
        <f>IFERROR(G195/L195,0)</f>
        <v/>
      </c>
      <c r="R195" s="8" t="n">
        <v>15517</v>
      </c>
      <c r="S195" s="10">
        <f>IFERROR(R195/G195,0)</f>
        <v/>
      </c>
    </row>
    <row r="196">
      <c r="A196" s="7" t="n">
        <v>46151</v>
      </c>
      <c r="B196" s="5" t="inlineStr">
        <is>
          <t>Aurelia Jewellery</t>
        </is>
      </c>
      <c r="C196" s="5" t="inlineStr">
        <is>
          <t>Luxury / Jewellery</t>
        </is>
      </c>
      <c r="D196" s="5" t="inlineStr">
        <is>
          <t>B2C</t>
        </is>
      </c>
      <c r="E196" s="5" t="inlineStr">
        <is>
          <t>Instagram</t>
        </is>
      </c>
      <c r="F196" s="5" t="inlineStr">
        <is>
          <t>aureliajewellery.example.com</t>
        </is>
      </c>
      <c r="G196" s="8" t="n">
        <v>5266</v>
      </c>
      <c r="H196" s="8" t="n">
        <v>2578</v>
      </c>
      <c r="I196" s="8" t="n">
        <v>44</v>
      </c>
      <c r="J196" s="9">
        <f>I196/H196</f>
        <v/>
      </c>
      <c r="K196" s="8" t="n">
        <v>40</v>
      </c>
      <c r="L196" s="8" t="n">
        <v>1</v>
      </c>
      <c r="M196" s="5" t="inlineStr">
        <is>
          <t>N/A</t>
        </is>
      </c>
      <c r="N196" s="5" t="inlineStr">
        <is>
          <t>N/A</t>
        </is>
      </c>
      <c r="O196" s="8" t="inlineStr">
        <is>
          <t>N/A</t>
        </is>
      </c>
      <c r="P196" s="5" t="n">
        <v>1</v>
      </c>
      <c r="Q196" s="8">
        <f>IFERROR(G196/L196,0)</f>
        <v/>
      </c>
      <c r="R196" s="8" t="n">
        <v>16235</v>
      </c>
      <c r="S196" s="10">
        <f>IFERROR(R196/G196,0)</f>
        <v/>
      </c>
    </row>
    <row r="197">
      <c r="A197" s="7" t="n">
        <v>46152</v>
      </c>
      <c r="B197" s="5" t="inlineStr">
        <is>
          <t>Aurelia Jewellery</t>
        </is>
      </c>
      <c r="C197" s="5" t="inlineStr">
        <is>
          <t>Luxury / Jewellery</t>
        </is>
      </c>
      <c r="D197" s="5" t="inlineStr">
        <is>
          <t>B2C</t>
        </is>
      </c>
      <c r="E197" s="5" t="inlineStr">
        <is>
          <t>Instagram</t>
        </is>
      </c>
      <c r="F197" s="5" t="inlineStr">
        <is>
          <t>aureliajewellery.example.com</t>
        </is>
      </c>
      <c r="G197" s="8" t="n">
        <v>5289</v>
      </c>
      <c r="H197" s="8" t="n">
        <v>2639</v>
      </c>
      <c r="I197" s="8" t="n">
        <v>45</v>
      </c>
      <c r="J197" s="9">
        <f>I197/H197</f>
        <v/>
      </c>
      <c r="K197" s="8" t="n">
        <v>43</v>
      </c>
      <c r="L197" s="8" t="n">
        <v>1</v>
      </c>
      <c r="M197" s="5" t="inlineStr">
        <is>
          <t>N/A</t>
        </is>
      </c>
      <c r="N197" s="5" t="inlineStr">
        <is>
          <t>N/A</t>
        </is>
      </c>
      <c r="O197" s="8" t="inlineStr">
        <is>
          <t>N/A</t>
        </is>
      </c>
      <c r="P197" s="5" t="n">
        <v>1</v>
      </c>
      <c r="Q197" s="8">
        <f>IFERROR(G197/L197,0)</f>
        <v/>
      </c>
      <c r="R197" s="8" t="n">
        <v>16622</v>
      </c>
      <c r="S197" s="10">
        <f>IFERROR(R197/G197,0)</f>
        <v/>
      </c>
    </row>
    <row r="198">
      <c r="A198" s="7" t="n">
        <v>46153</v>
      </c>
      <c r="B198" s="5" t="inlineStr">
        <is>
          <t>Aurelia Jewellery</t>
        </is>
      </c>
      <c r="C198" s="5" t="inlineStr">
        <is>
          <t>Luxury / Jewellery</t>
        </is>
      </c>
      <c r="D198" s="5" t="inlineStr">
        <is>
          <t>B2C</t>
        </is>
      </c>
      <c r="E198" s="5" t="inlineStr">
        <is>
          <t>Instagram</t>
        </is>
      </c>
      <c r="F198" s="5" t="inlineStr">
        <is>
          <t>aureliajewellery.example.com</t>
        </is>
      </c>
      <c r="G198" s="8" t="n">
        <v>5220</v>
      </c>
      <c r="H198" s="8" t="n">
        <v>2461</v>
      </c>
      <c r="I198" s="8" t="n">
        <v>42</v>
      </c>
      <c r="J198" s="9">
        <f>I198/H198</f>
        <v/>
      </c>
      <c r="K198" s="8" t="n">
        <v>40</v>
      </c>
      <c r="L198" s="8" t="n">
        <v>1</v>
      </c>
      <c r="M198" s="5" t="inlineStr">
        <is>
          <t>N/A</t>
        </is>
      </c>
      <c r="N198" s="5" t="inlineStr">
        <is>
          <t>N/A</t>
        </is>
      </c>
      <c r="O198" s="8" t="inlineStr">
        <is>
          <t>N/A</t>
        </is>
      </c>
      <c r="P198" s="5" t="n">
        <v>1</v>
      </c>
      <c r="Q198" s="8">
        <f>IFERROR(G198/L198,0)</f>
        <v/>
      </c>
      <c r="R198" s="8" t="n">
        <v>15498</v>
      </c>
      <c r="S198" s="10">
        <f>IFERROR(R198/G198,0)</f>
        <v/>
      </c>
    </row>
    <row r="199">
      <c r="A199" s="7" t="n">
        <v>46154</v>
      </c>
      <c r="B199" s="5" t="inlineStr">
        <is>
          <t>Aurelia Jewellery</t>
        </is>
      </c>
      <c r="C199" s="5" t="inlineStr">
        <is>
          <t>Luxury / Jewellery</t>
        </is>
      </c>
      <c r="D199" s="5" t="inlineStr">
        <is>
          <t>B2C</t>
        </is>
      </c>
      <c r="E199" s="5" t="inlineStr">
        <is>
          <t>Instagram</t>
        </is>
      </c>
      <c r="F199" s="5" t="inlineStr">
        <is>
          <t>aureliajewellery.example.com</t>
        </is>
      </c>
      <c r="G199" s="8" t="n">
        <v>4765</v>
      </c>
      <c r="H199" s="8" t="n">
        <v>2248</v>
      </c>
      <c r="I199" s="8" t="n">
        <v>38</v>
      </c>
      <c r="J199" s="9">
        <f>I199/H199</f>
        <v/>
      </c>
      <c r="K199" s="8" t="n">
        <v>33</v>
      </c>
      <c r="L199" s="8" t="n">
        <v>0</v>
      </c>
      <c r="M199" s="5" t="inlineStr">
        <is>
          <t>N/A</t>
        </is>
      </c>
      <c r="N199" s="5" t="inlineStr">
        <is>
          <t>N/A</t>
        </is>
      </c>
      <c r="O199" s="8" t="inlineStr">
        <is>
          <t>N/A</t>
        </is>
      </c>
      <c r="P199" s="5" t="n">
        <v>0</v>
      </c>
      <c r="Q199" s="8">
        <f>IFERROR(G199/L199,0)</f>
        <v/>
      </c>
      <c r="R199" s="8" t="n">
        <v>14156</v>
      </c>
      <c r="S199" s="10">
        <f>IFERROR(R199/G199,0)</f>
        <v/>
      </c>
    </row>
    <row r="200">
      <c r="A200" s="7" t="n">
        <v>46155</v>
      </c>
      <c r="B200" s="5" t="inlineStr">
        <is>
          <t>Aurelia Jewellery</t>
        </is>
      </c>
      <c r="C200" s="5" t="inlineStr">
        <is>
          <t>Luxury / Jewellery</t>
        </is>
      </c>
      <c r="D200" s="5" t="inlineStr">
        <is>
          <t>B2C</t>
        </is>
      </c>
      <c r="E200" s="5" t="inlineStr">
        <is>
          <t>Instagram</t>
        </is>
      </c>
      <c r="F200" s="5" t="inlineStr">
        <is>
          <t>aureliajewellery.example.com</t>
        </is>
      </c>
      <c r="G200" s="8" t="n">
        <v>5108</v>
      </c>
      <c r="H200" s="8" t="n">
        <v>2710</v>
      </c>
      <c r="I200" s="8" t="n">
        <v>46</v>
      </c>
      <c r="J200" s="9">
        <f>I200/H200</f>
        <v/>
      </c>
      <c r="K200" s="8" t="n">
        <v>43</v>
      </c>
      <c r="L200" s="8" t="n">
        <v>1</v>
      </c>
      <c r="M200" s="5" t="inlineStr">
        <is>
          <t>N/A</t>
        </is>
      </c>
      <c r="N200" s="5" t="inlineStr">
        <is>
          <t>N/A</t>
        </is>
      </c>
      <c r="O200" s="8" t="inlineStr">
        <is>
          <t>N/A</t>
        </is>
      </c>
      <c r="P200" s="5" t="n">
        <v>1</v>
      </c>
      <c r="Q200" s="8">
        <f>IFERROR(G200/L200,0)</f>
        <v/>
      </c>
      <c r="R200" s="8" t="n">
        <v>17068</v>
      </c>
      <c r="S200" s="10">
        <f>IFERROR(R200/G200,0)</f>
        <v/>
      </c>
    </row>
    <row r="201">
      <c r="A201" s="7" t="n">
        <v>46156</v>
      </c>
      <c r="B201" s="5" t="inlineStr">
        <is>
          <t>Aurelia Jewellery</t>
        </is>
      </c>
      <c r="C201" s="5" t="inlineStr">
        <is>
          <t>Luxury / Jewellery</t>
        </is>
      </c>
      <c r="D201" s="5" t="inlineStr">
        <is>
          <t>B2C</t>
        </is>
      </c>
      <c r="E201" s="5" t="inlineStr">
        <is>
          <t>Instagram</t>
        </is>
      </c>
      <c r="F201" s="5" t="inlineStr">
        <is>
          <t>aureliajewellery.example.com</t>
        </is>
      </c>
      <c r="G201" s="8" t="n">
        <v>5639</v>
      </c>
      <c r="H201" s="8" t="n">
        <v>2600</v>
      </c>
      <c r="I201" s="8" t="n">
        <v>44</v>
      </c>
      <c r="J201" s="9">
        <f>I201/H201</f>
        <v/>
      </c>
      <c r="K201" s="8" t="n">
        <v>38</v>
      </c>
      <c r="L201" s="8" t="n">
        <v>1</v>
      </c>
      <c r="M201" s="5" t="inlineStr">
        <is>
          <t>N/A</t>
        </is>
      </c>
      <c r="N201" s="5" t="inlineStr">
        <is>
          <t>N/A</t>
        </is>
      </c>
      <c r="O201" s="8" t="inlineStr">
        <is>
          <t>N/A</t>
        </is>
      </c>
      <c r="P201" s="5" t="n">
        <v>1</v>
      </c>
      <c r="Q201" s="8">
        <f>IFERROR(G201/L201,0)</f>
        <v/>
      </c>
      <c r="R201" s="8" t="n">
        <v>16374</v>
      </c>
      <c r="S201" s="10">
        <f>IFERROR(R201/G201,0)</f>
        <v/>
      </c>
    </row>
    <row r="202">
      <c r="A202" s="7" t="n">
        <v>46157</v>
      </c>
      <c r="B202" s="5" t="inlineStr">
        <is>
          <t>Aurelia Jewellery</t>
        </is>
      </c>
      <c r="C202" s="5" t="inlineStr">
        <is>
          <t>Luxury / Jewellery</t>
        </is>
      </c>
      <c r="D202" s="5" t="inlineStr">
        <is>
          <t>B2C</t>
        </is>
      </c>
      <c r="E202" s="5" t="inlineStr">
        <is>
          <t>Instagram</t>
        </is>
      </c>
      <c r="F202" s="5" t="inlineStr">
        <is>
          <t>aureliajewellery.example.com</t>
        </is>
      </c>
      <c r="G202" s="8" t="n">
        <v>4792</v>
      </c>
      <c r="H202" s="8" t="n">
        <v>2848</v>
      </c>
      <c r="I202" s="8" t="n">
        <v>48</v>
      </c>
      <c r="J202" s="9">
        <f>I202/H202</f>
        <v/>
      </c>
      <c r="K202" s="8" t="n">
        <v>47</v>
      </c>
      <c r="L202" s="8" t="n">
        <v>1</v>
      </c>
      <c r="M202" s="5" t="inlineStr">
        <is>
          <t>N/A</t>
        </is>
      </c>
      <c r="N202" s="5" t="inlineStr">
        <is>
          <t>N/A</t>
        </is>
      </c>
      <c r="O202" s="8" t="inlineStr">
        <is>
          <t>N/A</t>
        </is>
      </c>
      <c r="P202" s="5" t="n">
        <v>1</v>
      </c>
      <c r="Q202" s="8">
        <f>IFERROR(G202/L202,0)</f>
        <v/>
      </c>
      <c r="R202" s="8" t="n">
        <v>17941</v>
      </c>
      <c r="S202" s="10">
        <f>IFERROR(R202/G202,0)</f>
        <v/>
      </c>
    </row>
    <row r="203">
      <c r="A203" s="7" t="n">
        <v>46158</v>
      </c>
      <c r="B203" s="5" t="inlineStr">
        <is>
          <t>Aurelia Jewellery</t>
        </is>
      </c>
      <c r="C203" s="5" t="inlineStr">
        <is>
          <t>Luxury / Jewellery</t>
        </is>
      </c>
      <c r="D203" s="5" t="inlineStr">
        <is>
          <t>B2C</t>
        </is>
      </c>
      <c r="E203" s="5" t="inlineStr">
        <is>
          <t>Instagram</t>
        </is>
      </c>
      <c r="F203" s="5" t="inlineStr">
        <is>
          <t>aureliajewellery.example.com</t>
        </is>
      </c>
      <c r="G203" s="8" t="n">
        <v>5230</v>
      </c>
      <c r="H203" s="8" t="n">
        <v>2512</v>
      </c>
      <c r="I203" s="8" t="n">
        <v>43</v>
      </c>
      <c r="J203" s="9">
        <f>I203/H203</f>
        <v/>
      </c>
      <c r="K203" s="8" t="n">
        <v>37</v>
      </c>
      <c r="L203" s="8" t="n">
        <v>1</v>
      </c>
      <c r="M203" s="5" t="inlineStr">
        <is>
          <t>N/A</t>
        </is>
      </c>
      <c r="N203" s="5" t="inlineStr">
        <is>
          <t>N/A</t>
        </is>
      </c>
      <c r="O203" s="8" t="inlineStr">
        <is>
          <t>N/A</t>
        </is>
      </c>
      <c r="P203" s="5" t="n">
        <v>1</v>
      </c>
      <c r="Q203" s="8">
        <f>IFERROR(G203/L203,0)</f>
        <v/>
      </c>
      <c r="R203" s="8" t="n">
        <v>15823</v>
      </c>
      <c r="S203" s="10">
        <f>IFERROR(R203/G203,0)</f>
        <v/>
      </c>
    </row>
    <row r="204">
      <c r="A204" s="7" t="n">
        <v>46159</v>
      </c>
      <c r="B204" s="5" t="inlineStr">
        <is>
          <t>Aurelia Jewellery</t>
        </is>
      </c>
      <c r="C204" s="5" t="inlineStr">
        <is>
          <t>Luxury / Jewellery</t>
        </is>
      </c>
      <c r="D204" s="5" t="inlineStr">
        <is>
          <t>B2C</t>
        </is>
      </c>
      <c r="E204" s="5" t="inlineStr">
        <is>
          <t>Instagram</t>
        </is>
      </c>
      <c r="F204" s="5" t="inlineStr">
        <is>
          <t>aureliajewellery.example.com</t>
        </is>
      </c>
      <c r="G204" s="8" t="n">
        <v>4996</v>
      </c>
      <c r="H204" s="8" t="n">
        <v>3606</v>
      </c>
      <c r="I204" s="8" t="n">
        <v>61</v>
      </c>
      <c r="J204" s="9">
        <f>I204/H204</f>
        <v/>
      </c>
      <c r="K204" s="8" t="n">
        <v>57</v>
      </c>
      <c r="L204" s="8" t="n">
        <v>1</v>
      </c>
      <c r="M204" s="5" t="inlineStr">
        <is>
          <t>N/A</t>
        </is>
      </c>
      <c r="N204" s="5" t="inlineStr">
        <is>
          <t>N/A</t>
        </is>
      </c>
      <c r="O204" s="8" t="inlineStr">
        <is>
          <t>N/A</t>
        </is>
      </c>
      <c r="P204" s="5" t="n">
        <v>1</v>
      </c>
      <c r="Q204" s="8">
        <f>IFERROR(G204/L204,0)</f>
        <v/>
      </c>
      <c r="R204" s="8" t="n">
        <v>22713</v>
      </c>
      <c r="S204" s="10">
        <f>IFERROR(R204/G204,0)</f>
        <v/>
      </c>
    </row>
    <row r="205">
      <c r="A205" s="7" t="n">
        <v>46160</v>
      </c>
      <c r="B205" s="5" t="inlineStr">
        <is>
          <t>Aurelia Jewellery</t>
        </is>
      </c>
      <c r="C205" s="5" t="inlineStr">
        <is>
          <t>Luxury / Jewellery</t>
        </is>
      </c>
      <c r="D205" s="5" t="inlineStr">
        <is>
          <t>B2C</t>
        </is>
      </c>
      <c r="E205" s="5" t="inlineStr">
        <is>
          <t>Instagram</t>
        </is>
      </c>
      <c r="F205" s="5" t="inlineStr">
        <is>
          <t>aureliajewellery.example.com</t>
        </is>
      </c>
      <c r="G205" s="8" t="n">
        <v>5341</v>
      </c>
      <c r="H205" s="8" t="n">
        <v>2727</v>
      </c>
      <c r="I205" s="8" t="n">
        <v>46</v>
      </c>
      <c r="J205" s="9">
        <f>I205/H205</f>
        <v/>
      </c>
      <c r="K205" s="8" t="n">
        <v>41</v>
      </c>
      <c r="L205" s="8" t="n">
        <v>1</v>
      </c>
      <c r="M205" s="5" t="inlineStr">
        <is>
          <t>N/A</t>
        </is>
      </c>
      <c r="N205" s="5" t="inlineStr">
        <is>
          <t>N/A</t>
        </is>
      </c>
      <c r="O205" s="8" t="inlineStr">
        <is>
          <t>N/A</t>
        </is>
      </c>
      <c r="P205" s="5" t="n">
        <v>1</v>
      </c>
      <c r="Q205" s="8">
        <f>IFERROR(G205/L205,0)</f>
        <v/>
      </c>
      <c r="R205" s="8" t="n">
        <v>17177</v>
      </c>
      <c r="S205" s="10">
        <f>IFERROR(R205/G205,0)</f>
        <v/>
      </c>
    </row>
    <row r="206">
      <c r="A206" s="7" t="n">
        <v>46161</v>
      </c>
      <c r="B206" s="5" t="inlineStr">
        <is>
          <t>Aurelia Jewellery</t>
        </is>
      </c>
      <c r="C206" s="5" t="inlineStr">
        <is>
          <t>Luxury / Jewellery</t>
        </is>
      </c>
      <c r="D206" s="5" t="inlineStr">
        <is>
          <t>B2C</t>
        </is>
      </c>
      <c r="E206" s="5" t="inlineStr">
        <is>
          <t>Instagram</t>
        </is>
      </c>
      <c r="F206" s="5" t="inlineStr">
        <is>
          <t>aureliajewellery.example.com</t>
        </is>
      </c>
      <c r="G206" s="8" t="n">
        <v>5156</v>
      </c>
      <c r="H206" s="8" t="n">
        <v>2807</v>
      </c>
      <c r="I206" s="8" t="n">
        <v>48</v>
      </c>
      <c r="J206" s="9">
        <f>I206/H206</f>
        <v/>
      </c>
      <c r="K206" s="8" t="n">
        <v>45</v>
      </c>
      <c r="L206" s="8" t="n">
        <v>1</v>
      </c>
      <c r="M206" s="5" t="inlineStr">
        <is>
          <t>N/A</t>
        </is>
      </c>
      <c r="N206" s="5" t="inlineStr">
        <is>
          <t>N/A</t>
        </is>
      </c>
      <c r="O206" s="8" t="inlineStr">
        <is>
          <t>N/A</t>
        </is>
      </c>
      <c r="P206" s="5" t="n">
        <v>1</v>
      </c>
      <c r="Q206" s="8">
        <f>IFERROR(G206/L206,0)</f>
        <v/>
      </c>
      <c r="R206" s="8" t="n">
        <v>17681</v>
      </c>
      <c r="S206" s="10">
        <f>IFERROR(R206/G206,0)</f>
        <v/>
      </c>
    </row>
    <row r="207">
      <c r="A207" s="7" t="n">
        <v>46162</v>
      </c>
      <c r="B207" s="5" t="inlineStr">
        <is>
          <t>Aurelia Jewellery</t>
        </is>
      </c>
      <c r="C207" s="5" t="inlineStr">
        <is>
          <t>Luxury / Jewellery</t>
        </is>
      </c>
      <c r="D207" s="5" t="inlineStr">
        <is>
          <t>B2C</t>
        </is>
      </c>
      <c r="E207" s="5" t="inlineStr">
        <is>
          <t>Instagram</t>
        </is>
      </c>
      <c r="F207" s="5" t="inlineStr">
        <is>
          <t>aureliajewellery.example.com</t>
        </is>
      </c>
      <c r="G207" s="8" t="n">
        <v>5848</v>
      </c>
      <c r="H207" s="8" t="n">
        <v>2666</v>
      </c>
      <c r="I207" s="8" t="n">
        <v>45</v>
      </c>
      <c r="J207" s="9">
        <f>I207/H207</f>
        <v/>
      </c>
      <c r="K207" s="8" t="n">
        <v>41</v>
      </c>
      <c r="L207" s="8" t="n">
        <v>1</v>
      </c>
      <c r="M207" s="5" t="inlineStr">
        <is>
          <t>N/A</t>
        </is>
      </c>
      <c r="N207" s="5" t="inlineStr">
        <is>
          <t>N/A</t>
        </is>
      </c>
      <c r="O207" s="8" t="inlineStr">
        <is>
          <t>N/A</t>
        </is>
      </c>
      <c r="P207" s="5" t="n">
        <v>1</v>
      </c>
      <c r="Q207" s="8">
        <f>IFERROR(G207/L207,0)</f>
        <v/>
      </c>
      <c r="R207" s="8" t="n">
        <v>16793</v>
      </c>
      <c r="S207" s="10">
        <f>IFERROR(R207/G207,0)</f>
        <v/>
      </c>
    </row>
    <row r="208">
      <c r="A208" s="7" t="n">
        <v>46163</v>
      </c>
      <c r="B208" s="5" t="inlineStr">
        <is>
          <t>Aurelia Jewellery</t>
        </is>
      </c>
      <c r="C208" s="5" t="inlineStr">
        <is>
          <t>Luxury / Jewellery</t>
        </is>
      </c>
      <c r="D208" s="5" t="inlineStr">
        <is>
          <t>B2C</t>
        </is>
      </c>
      <c r="E208" s="5" t="inlineStr">
        <is>
          <t>Instagram</t>
        </is>
      </c>
      <c r="F208" s="5" t="inlineStr">
        <is>
          <t>aureliajewellery.example.com</t>
        </is>
      </c>
      <c r="G208" s="8" t="n">
        <v>5488</v>
      </c>
      <c r="H208" s="8" t="n">
        <v>3569</v>
      </c>
      <c r="I208" s="8" t="n">
        <v>61</v>
      </c>
      <c r="J208" s="9">
        <f>I208/H208</f>
        <v/>
      </c>
      <c r="K208" s="8" t="n">
        <v>58</v>
      </c>
      <c r="L208" s="8" t="n">
        <v>1</v>
      </c>
      <c r="M208" s="5" t="inlineStr">
        <is>
          <t>N/A</t>
        </is>
      </c>
      <c r="N208" s="5" t="inlineStr">
        <is>
          <t>N/A</t>
        </is>
      </c>
      <c r="O208" s="8" t="inlineStr">
        <is>
          <t>N/A</t>
        </is>
      </c>
      <c r="P208" s="5" t="n">
        <v>1</v>
      </c>
      <c r="Q208" s="8">
        <f>IFERROR(G208/L208,0)</f>
        <v/>
      </c>
      <c r="R208" s="8" t="n">
        <v>22479</v>
      </c>
      <c r="S208" s="10">
        <f>IFERROR(R208/G208,0)</f>
        <v/>
      </c>
    </row>
    <row r="209">
      <c r="A209" s="7" t="n">
        <v>46164</v>
      </c>
      <c r="B209" s="5" t="inlineStr">
        <is>
          <t>Aurelia Jewellery</t>
        </is>
      </c>
      <c r="C209" s="5" t="inlineStr">
        <is>
          <t>Luxury / Jewellery</t>
        </is>
      </c>
      <c r="D209" s="5" t="inlineStr">
        <is>
          <t>B2C</t>
        </is>
      </c>
      <c r="E209" s="5" t="inlineStr">
        <is>
          <t>Instagram</t>
        </is>
      </c>
      <c r="F209" s="5" t="inlineStr">
        <is>
          <t>aureliajewellery.example.com</t>
        </is>
      </c>
      <c r="G209" s="8" t="n">
        <v>4813</v>
      </c>
      <c r="H209" s="8" t="n">
        <v>2947</v>
      </c>
      <c r="I209" s="8" t="n">
        <v>50</v>
      </c>
      <c r="J209" s="9">
        <f>I209/H209</f>
        <v/>
      </c>
      <c r="K209" s="8" t="n">
        <v>44</v>
      </c>
      <c r="L209" s="8" t="n">
        <v>1</v>
      </c>
      <c r="M209" s="5" t="inlineStr">
        <is>
          <t>N/A</t>
        </is>
      </c>
      <c r="N209" s="5" t="inlineStr">
        <is>
          <t>N/A</t>
        </is>
      </c>
      <c r="O209" s="8" t="inlineStr">
        <is>
          <t>N/A</t>
        </is>
      </c>
      <c r="P209" s="5" t="n">
        <v>1</v>
      </c>
      <c r="Q209" s="8">
        <f>IFERROR(G209/L209,0)</f>
        <v/>
      </c>
      <c r="R209" s="8" t="n">
        <v>18564</v>
      </c>
      <c r="S209" s="10">
        <f>IFERROR(R209/G209,0)</f>
        <v/>
      </c>
    </row>
    <row r="210">
      <c r="A210" s="7" t="n">
        <v>46165</v>
      </c>
      <c r="B210" s="5" t="inlineStr">
        <is>
          <t>Aurelia Jewellery</t>
        </is>
      </c>
      <c r="C210" s="5" t="inlineStr">
        <is>
          <t>Luxury / Jewellery</t>
        </is>
      </c>
      <c r="D210" s="5" t="inlineStr">
        <is>
          <t>B2C</t>
        </is>
      </c>
      <c r="E210" s="5" t="inlineStr">
        <is>
          <t>Instagram</t>
        </is>
      </c>
      <c r="F210" s="5" t="inlineStr">
        <is>
          <t>aureliajewellery.example.com</t>
        </is>
      </c>
      <c r="G210" s="8" t="n">
        <v>5549</v>
      </c>
      <c r="H210" s="8" t="n">
        <v>3102</v>
      </c>
      <c r="I210" s="8" t="n">
        <v>53</v>
      </c>
      <c r="J210" s="9">
        <f>I210/H210</f>
        <v/>
      </c>
      <c r="K210" s="8" t="n">
        <v>51</v>
      </c>
      <c r="L210" s="8" t="n">
        <v>1</v>
      </c>
      <c r="M210" s="5" t="inlineStr">
        <is>
          <t>N/A</t>
        </is>
      </c>
      <c r="N210" s="5" t="inlineStr">
        <is>
          <t>N/A</t>
        </is>
      </c>
      <c r="O210" s="8" t="inlineStr">
        <is>
          <t>N/A</t>
        </is>
      </c>
      <c r="P210" s="5" t="n">
        <v>1</v>
      </c>
      <c r="Q210" s="8">
        <f>IFERROR(G210/L210,0)</f>
        <v/>
      </c>
      <c r="R210" s="8" t="n">
        <v>19539</v>
      </c>
      <c r="S210" s="10">
        <f>IFERROR(R210/G210,0)</f>
        <v/>
      </c>
    </row>
    <row r="211">
      <c r="A211" s="7" t="n">
        <v>46166</v>
      </c>
      <c r="B211" s="5" t="inlineStr">
        <is>
          <t>Aurelia Jewellery</t>
        </is>
      </c>
      <c r="C211" s="5" t="inlineStr">
        <is>
          <t>Luxury / Jewellery</t>
        </is>
      </c>
      <c r="D211" s="5" t="inlineStr">
        <is>
          <t>B2C</t>
        </is>
      </c>
      <c r="E211" s="5" t="inlineStr">
        <is>
          <t>Instagram</t>
        </is>
      </c>
      <c r="F211" s="5" t="inlineStr">
        <is>
          <t>aureliajewellery.example.com</t>
        </is>
      </c>
      <c r="G211" s="8" t="n">
        <v>5013</v>
      </c>
      <c r="H211" s="8" t="n">
        <v>2269</v>
      </c>
      <c r="I211" s="8" t="n">
        <v>39</v>
      </c>
      <c r="J211" s="9">
        <f>I211/H211</f>
        <v/>
      </c>
      <c r="K211" s="8" t="n">
        <v>35</v>
      </c>
      <c r="L211" s="8" t="n">
        <v>1</v>
      </c>
      <c r="M211" s="5" t="inlineStr">
        <is>
          <t>N/A</t>
        </is>
      </c>
      <c r="N211" s="5" t="inlineStr">
        <is>
          <t>N/A</t>
        </is>
      </c>
      <c r="O211" s="8" t="inlineStr">
        <is>
          <t>N/A</t>
        </is>
      </c>
      <c r="P211" s="5" t="n">
        <v>1</v>
      </c>
      <c r="Q211" s="8">
        <f>IFERROR(G211/L211,0)</f>
        <v/>
      </c>
      <c r="R211" s="8" t="n">
        <v>14288</v>
      </c>
      <c r="S211" s="10">
        <f>IFERROR(R211/G211,0)</f>
        <v/>
      </c>
    </row>
    <row r="212">
      <c r="A212" s="7" t="n">
        <v>46167</v>
      </c>
      <c r="B212" s="5" t="inlineStr">
        <is>
          <t>Aurelia Jewellery</t>
        </is>
      </c>
      <c r="C212" s="5" t="inlineStr">
        <is>
          <t>Luxury / Jewellery</t>
        </is>
      </c>
      <c r="D212" s="5" t="inlineStr">
        <is>
          <t>B2C</t>
        </is>
      </c>
      <c r="E212" s="5" t="inlineStr">
        <is>
          <t>Instagram</t>
        </is>
      </c>
      <c r="F212" s="5" t="inlineStr">
        <is>
          <t>aureliajewellery.example.com</t>
        </is>
      </c>
      <c r="G212" s="8" t="n">
        <v>5086</v>
      </c>
      <c r="H212" s="8" t="n">
        <v>2815</v>
      </c>
      <c r="I212" s="8" t="n">
        <v>48</v>
      </c>
      <c r="J212" s="9">
        <f>I212/H212</f>
        <v/>
      </c>
      <c r="K212" s="8" t="n">
        <v>45</v>
      </c>
      <c r="L212" s="8" t="n">
        <v>1</v>
      </c>
      <c r="M212" s="5" t="inlineStr">
        <is>
          <t>N/A</t>
        </is>
      </c>
      <c r="N212" s="5" t="inlineStr">
        <is>
          <t>N/A</t>
        </is>
      </c>
      <c r="O212" s="8" t="inlineStr">
        <is>
          <t>N/A</t>
        </is>
      </c>
      <c r="P212" s="5" t="n">
        <v>1</v>
      </c>
      <c r="Q212" s="8">
        <f>IFERROR(G212/L212,0)</f>
        <v/>
      </c>
      <c r="R212" s="8" t="n">
        <v>17729</v>
      </c>
      <c r="S212" s="10">
        <f>IFERROR(R212/G212,0)</f>
        <v/>
      </c>
    </row>
    <row r="213">
      <c r="A213" s="7" t="n">
        <v>46168</v>
      </c>
      <c r="B213" s="5" t="inlineStr">
        <is>
          <t>Aurelia Jewellery</t>
        </is>
      </c>
      <c r="C213" s="5" t="inlineStr">
        <is>
          <t>Luxury / Jewellery</t>
        </is>
      </c>
      <c r="D213" s="5" t="inlineStr">
        <is>
          <t>B2C</t>
        </is>
      </c>
      <c r="E213" s="5" t="inlineStr">
        <is>
          <t>Instagram</t>
        </is>
      </c>
      <c r="F213" s="5" t="inlineStr">
        <is>
          <t>aureliajewellery.example.com</t>
        </is>
      </c>
      <c r="G213" s="8" t="n">
        <v>5416</v>
      </c>
      <c r="H213" s="8" t="n">
        <v>2530</v>
      </c>
      <c r="I213" s="8" t="n">
        <v>43</v>
      </c>
      <c r="J213" s="9">
        <f>I213/H213</f>
        <v/>
      </c>
      <c r="K213" s="8" t="n">
        <v>41</v>
      </c>
      <c r="L213" s="8" t="n">
        <v>1</v>
      </c>
      <c r="M213" s="5" t="inlineStr">
        <is>
          <t>N/A</t>
        </is>
      </c>
      <c r="N213" s="5" t="inlineStr">
        <is>
          <t>N/A</t>
        </is>
      </c>
      <c r="O213" s="8" t="inlineStr">
        <is>
          <t>N/A</t>
        </is>
      </c>
      <c r="P213" s="5" t="n">
        <v>1</v>
      </c>
      <c r="Q213" s="8">
        <f>IFERROR(G213/L213,0)</f>
        <v/>
      </c>
      <c r="R213" s="8" t="n">
        <v>15938</v>
      </c>
      <c r="S213" s="10">
        <f>IFERROR(R213/G213,0)</f>
        <v/>
      </c>
    </row>
    <row r="214">
      <c r="A214" s="7" t="n">
        <v>46169</v>
      </c>
      <c r="B214" s="5" t="inlineStr">
        <is>
          <t>Aurelia Jewellery</t>
        </is>
      </c>
      <c r="C214" s="5" t="inlineStr">
        <is>
          <t>Luxury / Jewellery</t>
        </is>
      </c>
      <c r="D214" s="5" t="inlineStr">
        <is>
          <t>B2C</t>
        </is>
      </c>
      <c r="E214" s="5" t="inlineStr">
        <is>
          <t>Instagram</t>
        </is>
      </c>
      <c r="F214" s="5" t="inlineStr">
        <is>
          <t>aureliajewellery.example.com</t>
        </is>
      </c>
      <c r="G214" s="8" t="n">
        <v>5118</v>
      </c>
      <c r="H214" s="8" t="n">
        <v>3247</v>
      </c>
      <c r="I214" s="8" t="n">
        <v>55</v>
      </c>
      <c r="J214" s="9">
        <f>I214/H214</f>
        <v/>
      </c>
      <c r="K214" s="8" t="n">
        <v>54</v>
      </c>
      <c r="L214" s="8" t="n">
        <v>1</v>
      </c>
      <c r="M214" s="5" t="inlineStr">
        <is>
          <t>N/A</t>
        </is>
      </c>
      <c r="N214" s="5" t="inlineStr">
        <is>
          <t>N/A</t>
        </is>
      </c>
      <c r="O214" s="8" t="inlineStr">
        <is>
          <t>N/A</t>
        </is>
      </c>
      <c r="P214" s="5" t="n">
        <v>1</v>
      </c>
      <c r="Q214" s="8">
        <f>IFERROR(G214/L214,0)</f>
        <v/>
      </c>
      <c r="R214" s="8" t="n">
        <v>20453</v>
      </c>
      <c r="S214" s="10">
        <f>IFERROR(R214/G214,0)</f>
        <v/>
      </c>
    </row>
    <row r="215">
      <c r="A215" s="7" t="n">
        <v>46170</v>
      </c>
      <c r="B215" s="5" t="inlineStr">
        <is>
          <t>Aurelia Jewellery</t>
        </is>
      </c>
      <c r="C215" s="5" t="inlineStr">
        <is>
          <t>Luxury / Jewellery</t>
        </is>
      </c>
      <c r="D215" s="5" t="inlineStr">
        <is>
          <t>B2C</t>
        </is>
      </c>
      <c r="E215" s="5" t="inlineStr">
        <is>
          <t>Instagram</t>
        </is>
      </c>
      <c r="F215" s="5" t="inlineStr">
        <is>
          <t>aureliajewellery.example.com</t>
        </is>
      </c>
      <c r="G215" s="8" t="n">
        <v>5631</v>
      </c>
      <c r="H215" s="8" t="n">
        <v>3335</v>
      </c>
      <c r="I215" s="8" t="n">
        <v>57</v>
      </c>
      <c r="J215" s="9">
        <f>I215/H215</f>
        <v/>
      </c>
      <c r="K215" s="8" t="n">
        <v>50</v>
      </c>
      <c r="L215" s="8" t="n">
        <v>1</v>
      </c>
      <c r="M215" s="5" t="inlineStr">
        <is>
          <t>N/A</t>
        </is>
      </c>
      <c r="N215" s="5" t="inlineStr">
        <is>
          <t>N/A</t>
        </is>
      </c>
      <c r="O215" s="8" t="inlineStr">
        <is>
          <t>N/A</t>
        </is>
      </c>
      <c r="P215" s="5" t="n">
        <v>1</v>
      </c>
      <c r="Q215" s="8">
        <f>IFERROR(G215/L215,0)</f>
        <v/>
      </c>
      <c r="R215" s="8" t="n">
        <v>21005</v>
      </c>
      <c r="S215" s="10">
        <f>IFERROR(R215/G215,0)</f>
        <v/>
      </c>
    </row>
    <row r="216">
      <c r="A216" s="7" t="n">
        <v>46171</v>
      </c>
      <c r="B216" s="5" t="inlineStr">
        <is>
          <t>Aurelia Jewellery</t>
        </is>
      </c>
      <c r="C216" s="5" t="inlineStr">
        <is>
          <t>Luxury / Jewellery</t>
        </is>
      </c>
      <c r="D216" s="5" t="inlineStr">
        <is>
          <t>B2C</t>
        </is>
      </c>
      <c r="E216" s="5" t="inlineStr">
        <is>
          <t>Instagram</t>
        </is>
      </c>
      <c r="F216" s="5" t="inlineStr">
        <is>
          <t>aureliajewellery.example.com</t>
        </is>
      </c>
      <c r="G216" s="8" t="n">
        <v>5013</v>
      </c>
      <c r="H216" s="8" t="n">
        <v>2737</v>
      </c>
      <c r="I216" s="8" t="n">
        <v>47</v>
      </c>
      <c r="J216" s="9">
        <f>I216/H216</f>
        <v/>
      </c>
      <c r="K216" s="8" t="n">
        <v>41</v>
      </c>
      <c r="L216" s="8" t="n">
        <v>1</v>
      </c>
      <c r="M216" s="5" t="inlineStr">
        <is>
          <t>N/A</t>
        </is>
      </c>
      <c r="N216" s="5" t="inlineStr">
        <is>
          <t>N/A</t>
        </is>
      </c>
      <c r="O216" s="8" t="inlineStr">
        <is>
          <t>N/A</t>
        </is>
      </c>
      <c r="P216" s="5" t="n">
        <v>1</v>
      </c>
      <c r="Q216" s="8">
        <f>IFERROR(G216/L216,0)</f>
        <v/>
      </c>
      <c r="R216" s="8" t="n">
        <v>17238</v>
      </c>
      <c r="S216" s="10">
        <f>IFERROR(R216/G216,0)</f>
        <v/>
      </c>
    </row>
    <row r="217">
      <c r="A217" s="7" t="n">
        <v>46172</v>
      </c>
      <c r="B217" s="5" t="inlineStr">
        <is>
          <t>Aurelia Jewellery</t>
        </is>
      </c>
      <c r="C217" s="5" t="inlineStr">
        <is>
          <t>Luxury / Jewellery</t>
        </is>
      </c>
      <c r="D217" s="5" t="inlineStr">
        <is>
          <t>B2C</t>
        </is>
      </c>
      <c r="E217" s="5" t="inlineStr">
        <is>
          <t>Instagram</t>
        </is>
      </c>
      <c r="F217" s="5" t="inlineStr">
        <is>
          <t>aureliajewellery.example.com</t>
        </is>
      </c>
      <c r="G217" s="8" t="n">
        <v>5070</v>
      </c>
      <c r="H217" s="8" t="n">
        <v>1937</v>
      </c>
      <c r="I217" s="8" t="n">
        <v>33</v>
      </c>
      <c r="J217" s="9">
        <f>I217/H217</f>
        <v/>
      </c>
      <c r="K217" s="8" t="n">
        <v>29</v>
      </c>
      <c r="L217" s="8" t="n">
        <v>0</v>
      </c>
      <c r="M217" s="5" t="inlineStr">
        <is>
          <t>N/A</t>
        </is>
      </c>
      <c r="N217" s="5" t="inlineStr">
        <is>
          <t>N/A</t>
        </is>
      </c>
      <c r="O217" s="8" t="inlineStr">
        <is>
          <t>N/A</t>
        </is>
      </c>
      <c r="P217" s="5" t="n">
        <v>0</v>
      </c>
      <c r="Q217" s="8">
        <f>IFERROR(G217/L217,0)</f>
        <v/>
      </c>
      <c r="R217" s="8" t="n">
        <v>12199</v>
      </c>
      <c r="S217" s="10">
        <f>IFERROR(R217/G217,0)</f>
        <v/>
      </c>
    </row>
    <row r="218">
      <c r="A218" s="7" t="n">
        <v>46173</v>
      </c>
      <c r="B218" s="5" t="inlineStr">
        <is>
          <t>Aurelia Jewellery</t>
        </is>
      </c>
      <c r="C218" s="5" t="inlineStr">
        <is>
          <t>Luxury / Jewellery</t>
        </is>
      </c>
      <c r="D218" s="5" t="inlineStr">
        <is>
          <t>B2C</t>
        </is>
      </c>
      <c r="E218" s="5" t="inlineStr">
        <is>
          <t>Instagram</t>
        </is>
      </c>
      <c r="F218" s="5" t="inlineStr">
        <is>
          <t>aureliajewellery.example.com</t>
        </is>
      </c>
      <c r="G218" s="8" t="n">
        <v>5056</v>
      </c>
      <c r="H218" s="8" t="n">
        <v>2407</v>
      </c>
      <c r="I218" s="8" t="n">
        <v>41</v>
      </c>
      <c r="J218" s="9">
        <f>I218/H218</f>
        <v/>
      </c>
      <c r="K218" s="8" t="n">
        <v>36</v>
      </c>
      <c r="L218" s="8" t="n">
        <v>1</v>
      </c>
      <c r="M218" s="5" t="inlineStr">
        <is>
          <t>N/A</t>
        </is>
      </c>
      <c r="N218" s="5" t="inlineStr">
        <is>
          <t>N/A</t>
        </is>
      </c>
      <c r="O218" s="8" t="inlineStr">
        <is>
          <t>N/A</t>
        </is>
      </c>
      <c r="P218" s="5" t="n">
        <v>1</v>
      </c>
      <c r="Q218" s="8">
        <f>IFERROR(G218/L218,0)</f>
        <v/>
      </c>
      <c r="R218" s="8" t="n">
        <v>15163</v>
      </c>
      <c r="S218" s="10">
        <f>IFERROR(R218/G218,0)</f>
        <v/>
      </c>
    </row>
    <row r="219">
      <c r="A219" s="7" t="n">
        <v>46143</v>
      </c>
      <c r="B219" s="5" t="inlineStr">
        <is>
          <t>Aurelia Jewellery</t>
        </is>
      </c>
      <c r="C219" s="5" t="inlineStr">
        <is>
          <t>Luxury / Jewellery</t>
        </is>
      </c>
      <c r="D219" s="5" t="inlineStr">
        <is>
          <t>B2C</t>
        </is>
      </c>
      <c r="E219" s="5" t="inlineStr">
        <is>
          <t>Pinterest</t>
        </is>
      </c>
      <c r="F219" s="5" t="inlineStr">
        <is>
          <t>aureliajewellery.example.com</t>
        </is>
      </c>
      <c r="G219" s="8" t="n">
        <v>2129</v>
      </c>
      <c r="H219" s="8" t="n">
        <v>1154</v>
      </c>
      <c r="I219" s="8" t="n">
        <v>15</v>
      </c>
      <c r="J219" s="9">
        <f>I219/H219</f>
        <v/>
      </c>
      <c r="K219" s="8" t="n">
        <v>14</v>
      </c>
      <c r="L219" s="8" t="n">
        <v>0</v>
      </c>
      <c r="M219" s="5" t="inlineStr">
        <is>
          <t>N/A</t>
        </is>
      </c>
      <c r="N219" s="5" t="inlineStr">
        <is>
          <t>N/A</t>
        </is>
      </c>
      <c r="O219" s="8" t="inlineStr">
        <is>
          <t>N/A</t>
        </is>
      </c>
      <c r="P219" s="5" t="n">
        <v>0</v>
      </c>
      <c r="Q219" s="8">
        <f>IFERROR(G219/L219,0)</f>
        <v/>
      </c>
      <c r="R219" s="8" t="n">
        <v>6412</v>
      </c>
      <c r="S219" s="10">
        <f>IFERROR(R219/G219,0)</f>
        <v/>
      </c>
    </row>
    <row r="220">
      <c r="A220" s="7" t="n">
        <v>46144</v>
      </c>
      <c r="B220" s="5" t="inlineStr">
        <is>
          <t>Aurelia Jewellery</t>
        </is>
      </c>
      <c r="C220" s="5" t="inlineStr">
        <is>
          <t>Luxury / Jewellery</t>
        </is>
      </c>
      <c r="D220" s="5" t="inlineStr">
        <is>
          <t>B2C</t>
        </is>
      </c>
      <c r="E220" s="5" t="inlineStr">
        <is>
          <t>Pinterest</t>
        </is>
      </c>
      <c r="F220" s="5" t="inlineStr">
        <is>
          <t>aureliajewellery.example.com</t>
        </is>
      </c>
      <c r="G220" s="8" t="n">
        <v>2302</v>
      </c>
      <c r="H220" s="8" t="n">
        <v>1076</v>
      </c>
      <c r="I220" s="8" t="n">
        <v>14</v>
      </c>
      <c r="J220" s="9">
        <f>I220/H220</f>
        <v/>
      </c>
      <c r="K220" s="8" t="n">
        <v>13</v>
      </c>
      <c r="L220" s="8" t="n">
        <v>0</v>
      </c>
      <c r="M220" s="5" t="inlineStr">
        <is>
          <t>N/A</t>
        </is>
      </c>
      <c r="N220" s="5" t="inlineStr">
        <is>
          <t>N/A</t>
        </is>
      </c>
      <c r="O220" s="8" t="inlineStr">
        <is>
          <t>N/A</t>
        </is>
      </c>
      <c r="P220" s="5" t="n">
        <v>0</v>
      </c>
      <c r="Q220" s="8">
        <f>IFERROR(G220/L220,0)</f>
        <v/>
      </c>
      <c r="R220" s="8" t="n">
        <v>5980</v>
      </c>
      <c r="S220" s="10">
        <f>IFERROR(R220/G220,0)</f>
        <v/>
      </c>
    </row>
    <row r="221">
      <c r="A221" s="7" t="n">
        <v>46145</v>
      </c>
      <c r="B221" s="5" t="inlineStr">
        <is>
          <t>Aurelia Jewellery</t>
        </is>
      </c>
      <c r="C221" s="5" t="inlineStr">
        <is>
          <t>Luxury / Jewellery</t>
        </is>
      </c>
      <c r="D221" s="5" t="inlineStr">
        <is>
          <t>B2C</t>
        </is>
      </c>
      <c r="E221" s="5" t="inlineStr">
        <is>
          <t>Pinterest</t>
        </is>
      </c>
      <c r="F221" s="5" t="inlineStr">
        <is>
          <t>aureliajewellery.example.com</t>
        </is>
      </c>
      <c r="G221" s="8" t="n">
        <v>2344</v>
      </c>
      <c r="H221" s="8" t="n">
        <v>1207</v>
      </c>
      <c r="I221" s="8" t="n">
        <v>16</v>
      </c>
      <c r="J221" s="9">
        <f>I221/H221</f>
        <v/>
      </c>
      <c r="K221" s="8" t="n">
        <v>14</v>
      </c>
      <c r="L221" s="8" t="n">
        <v>0</v>
      </c>
      <c r="M221" s="5" t="inlineStr">
        <is>
          <t>N/A</t>
        </is>
      </c>
      <c r="N221" s="5" t="inlineStr">
        <is>
          <t>N/A</t>
        </is>
      </c>
      <c r="O221" s="8" t="inlineStr">
        <is>
          <t>N/A</t>
        </is>
      </c>
      <c r="P221" s="5" t="n">
        <v>0</v>
      </c>
      <c r="Q221" s="8">
        <f>IFERROR(G221/L221,0)</f>
        <v/>
      </c>
      <c r="R221" s="8" t="n">
        <v>6706</v>
      </c>
      <c r="S221" s="10">
        <f>IFERROR(R221/G221,0)</f>
        <v/>
      </c>
    </row>
    <row r="222">
      <c r="A222" s="7" t="n">
        <v>46146</v>
      </c>
      <c r="B222" s="5" t="inlineStr">
        <is>
          <t>Aurelia Jewellery</t>
        </is>
      </c>
      <c r="C222" s="5" t="inlineStr">
        <is>
          <t>Luxury / Jewellery</t>
        </is>
      </c>
      <c r="D222" s="5" t="inlineStr">
        <is>
          <t>B2C</t>
        </is>
      </c>
      <c r="E222" s="5" t="inlineStr">
        <is>
          <t>Pinterest</t>
        </is>
      </c>
      <c r="F222" s="5" t="inlineStr">
        <is>
          <t>aureliajewellery.example.com</t>
        </is>
      </c>
      <c r="G222" s="8" t="n">
        <v>2275</v>
      </c>
      <c r="H222" s="8" t="n">
        <v>1325</v>
      </c>
      <c r="I222" s="8" t="n">
        <v>17</v>
      </c>
      <c r="J222" s="9">
        <f>I222/H222</f>
        <v/>
      </c>
      <c r="K222" s="8" t="n">
        <v>15</v>
      </c>
      <c r="L222" s="8" t="n">
        <v>0</v>
      </c>
      <c r="M222" s="5" t="inlineStr">
        <is>
          <t>N/A</t>
        </is>
      </c>
      <c r="N222" s="5" t="inlineStr">
        <is>
          <t>N/A</t>
        </is>
      </c>
      <c r="O222" s="8" t="inlineStr">
        <is>
          <t>N/A</t>
        </is>
      </c>
      <c r="P222" s="5" t="n">
        <v>0</v>
      </c>
      <c r="Q222" s="8">
        <f>IFERROR(G222/L222,0)</f>
        <v/>
      </c>
      <c r="R222" s="8" t="n">
        <v>7365</v>
      </c>
      <c r="S222" s="10">
        <f>IFERROR(R222/G222,0)</f>
        <v/>
      </c>
    </row>
    <row r="223">
      <c r="A223" s="7" t="n">
        <v>46147</v>
      </c>
      <c r="B223" s="5" t="inlineStr">
        <is>
          <t>Aurelia Jewellery</t>
        </is>
      </c>
      <c r="C223" s="5" t="inlineStr">
        <is>
          <t>Luxury / Jewellery</t>
        </is>
      </c>
      <c r="D223" s="5" t="inlineStr">
        <is>
          <t>B2C</t>
        </is>
      </c>
      <c r="E223" s="5" t="inlineStr">
        <is>
          <t>Pinterest</t>
        </is>
      </c>
      <c r="F223" s="5" t="inlineStr">
        <is>
          <t>aureliajewellery.example.com</t>
        </is>
      </c>
      <c r="G223" s="8" t="n">
        <v>2160</v>
      </c>
      <c r="H223" s="8" t="n">
        <v>1076</v>
      </c>
      <c r="I223" s="8" t="n">
        <v>14</v>
      </c>
      <c r="J223" s="9">
        <f>I223/H223</f>
        <v/>
      </c>
      <c r="K223" s="8" t="n">
        <v>13</v>
      </c>
      <c r="L223" s="8" t="n">
        <v>0</v>
      </c>
      <c r="M223" s="5" t="inlineStr">
        <is>
          <t>N/A</t>
        </is>
      </c>
      <c r="N223" s="5" t="inlineStr">
        <is>
          <t>N/A</t>
        </is>
      </c>
      <c r="O223" s="8" t="inlineStr">
        <is>
          <t>N/A</t>
        </is>
      </c>
      <c r="P223" s="5" t="n">
        <v>0</v>
      </c>
      <c r="Q223" s="8">
        <f>IFERROR(G223/L223,0)</f>
        <v/>
      </c>
      <c r="R223" s="8" t="n">
        <v>5981</v>
      </c>
      <c r="S223" s="10">
        <f>IFERROR(R223/G223,0)</f>
        <v/>
      </c>
    </row>
    <row r="224">
      <c r="A224" s="7" t="n">
        <v>46148</v>
      </c>
      <c r="B224" s="5" t="inlineStr">
        <is>
          <t>Aurelia Jewellery</t>
        </is>
      </c>
      <c r="C224" s="5" t="inlineStr">
        <is>
          <t>Luxury / Jewellery</t>
        </is>
      </c>
      <c r="D224" s="5" t="inlineStr">
        <is>
          <t>B2C</t>
        </is>
      </c>
      <c r="E224" s="5" t="inlineStr">
        <is>
          <t>Pinterest</t>
        </is>
      </c>
      <c r="F224" s="5" t="inlineStr">
        <is>
          <t>aureliajewellery.example.com</t>
        </is>
      </c>
      <c r="G224" s="8" t="n">
        <v>1875</v>
      </c>
      <c r="H224" s="8" t="n">
        <v>1040</v>
      </c>
      <c r="I224" s="8" t="n">
        <v>14</v>
      </c>
      <c r="J224" s="9">
        <f>I224/H224</f>
        <v/>
      </c>
      <c r="K224" s="8" t="n">
        <v>13</v>
      </c>
      <c r="L224" s="8" t="n">
        <v>0</v>
      </c>
      <c r="M224" s="5" t="inlineStr">
        <is>
          <t>N/A</t>
        </is>
      </c>
      <c r="N224" s="5" t="inlineStr">
        <is>
          <t>N/A</t>
        </is>
      </c>
      <c r="O224" s="8" t="inlineStr">
        <is>
          <t>N/A</t>
        </is>
      </c>
      <c r="P224" s="5" t="n">
        <v>0</v>
      </c>
      <c r="Q224" s="8">
        <f>IFERROR(G224/L224,0)</f>
        <v/>
      </c>
      <c r="R224" s="8" t="n">
        <v>5782</v>
      </c>
      <c r="S224" s="10">
        <f>IFERROR(R224/G224,0)</f>
        <v/>
      </c>
    </row>
    <row r="225">
      <c r="A225" s="7" t="n">
        <v>46149</v>
      </c>
      <c r="B225" s="5" t="inlineStr">
        <is>
          <t>Aurelia Jewellery</t>
        </is>
      </c>
      <c r="C225" s="5" t="inlineStr">
        <is>
          <t>Luxury / Jewellery</t>
        </is>
      </c>
      <c r="D225" s="5" t="inlineStr">
        <is>
          <t>B2C</t>
        </is>
      </c>
      <c r="E225" s="5" t="inlineStr">
        <is>
          <t>Pinterest</t>
        </is>
      </c>
      <c r="F225" s="5" t="inlineStr">
        <is>
          <t>aureliajewellery.example.com</t>
        </is>
      </c>
      <c r="G225" s="8" t="n">
        <v>2318</v>
      </c>
      <c r="H225" s="8" t="n">
        <v>1207</v>
      </c>
      <c r="I225" s="8" t="n">
        <v>16</v>
      </c>
      <c r="J225" s="9">
        <f>I225/H225</f>
        <v/>
      </c>
      <c r="K225" s="8" t="n">
        <v>13</v>
      </c>
      <c r="L225" s="8" t="n">
        <v>0</v>
      </c>
      <c r="M225" s="5" t="inlineStr">
        <is>
          <t>N/A</t>
        </is>
      </c>
      <c r="N225" s="5" t="inlineStr">
        <is>
          <t>N/A</t>
        </is>
      </c>
      <c r="O225" s="8" t="inlineStr">
        <is>
          <t>N/A</t>
        </is>
      </c>
      <c r="P225" s="5" t="n">
        <v>0</v>
      </c>
      <c r="Q225" s="8">
        <f>IFERROR(G225/L225,0)</f>
        <v/>
      </c>
      <c r="R225" s="8" t="n">
        <v>6706</v>
      </c>
      <c r="S225" s="10">
        <f>IFERROR(R225/G225,0)</f>
        <v/>
      </c>
    </row>
    <row r="226">
      <c r="A226" s="7" t="n">
        <v>46150</v>
      </c>
      <c r="B226" s="5" t="inlineStr">
        <is>
          <t>Aurelia Jewellery</t>
        </is>
      </c>
      <c r="C226" s="5" t="inlineStr">
        <is>
          <t>Luxury / Jewellery</t>
        </is>
      </c>
      <c r="D226" s="5" t="inlineStr">
        <is>
          <t>B2C</t>
        </is>
      </c>
      <c r="E226" s="5" t="inlineStr">
        <is>
          <t>Pinterest</t>
        </is>
      </c>
      <c r="F226" s="5" t="inlineStr">
        <is>
          <t>aureliajewellery.example.com</t>
        </is>
      </c>
      <c r="G226" s="8" t="n">
        <v>2388</v>
      </c>
      <c r="H226" s="8" t="n">
        <v>1393</v>
      </c>
      <c r="I226" s="8" t="n">
        <v>18</v>
      </c>
      <c r="J226" s="9">
        <f>I226/H226</f>
        <v/>
      </c>
      <c r="K226" s="8" t="n">
        <v>16</v>
      </c>
      <c r="L226" s="8" t="n">
        <v>0</v>
      </c>
      <c r="M226" s="5" t="inlineStr">
        <is>
          <t>N/A</t>
        </is>
      </c>
      <c r="N226" s="5" t="inlineStr">
        <is>
          <t>N/A</t>
        </is>
      </c>
      <c r="O226" s="8" t="inlineStr">
        <is>
          <t>N/A</t>
        </is>
      </c>
      <c r="P226" s="5" t="n">
        <v>0</v>
      </c>
      <c r="Q226" s="8">
        <f>IFERROR(G226/L226,0)</f>
        <v/>
      </c>
      <c r="R226" s="8" t="n">
        <v>7742</v>
      </c>
      <c r="S226" s="10">
        <f>IFERROR(R226/G226,0)</f>
        <v/>
      </c>
    </row>
    <row r="227">
      <c r="A227" s="7" t="n">
        <v>46151</v>
      </c>
      <c r="B227" s="5" t="inlineStr">
        <is>
          <t>Aurelia Jewellery</t>
        </is>
      </c>
      <c r="C227" s="5" t="inlineStr">
        <is>
          <t>Luxury / Jewellery</t>
        </is>
      </c>
      <c r="D227" s="5" t="inlineStr">
        <is>
          <t>B2C</t>
        </is>
      </c>
      <c r="E227" s="5" t="inlineStr">
        <is>
          <t>Pinterest</t>
        </is>
      </c>
      <c r="F227" s="5" t="inlineStr">
        <is>
          <t>aureliajewellery.example.com</t>
        </is>
      </c>
      <c r="G227" s="8" t="n">
        <v>2299</v>
      </c>
      <c r="H227" s="8" t="n">
        <v>1312</v>
      </c>
      <c r="I227" s="8" t="n">
        <v>17</v>
      </c>
      <c r="J227" s="9">
        <f>I227/H227</f>
        <v/>
      </c>
      <c r="K227" s="8" t="n">
        <v>16</v>
      </c>
      <c r="L227" s="8" t="n">
        <v>0</v>
      </c>
      <c r="M227" s="5" t="inlineStr">
        <is>
          <t>N/A</t>
        </is>
      </c>
      <c r="N227" s="5" t="inlineStr">
        <is>
          <t>N/A</t>
        </is>
      </c>
      <c r="O227" s="8" t="inlineStr">
        <is>
          <t>N/A</t>
        </is>
      </c>
      <c r="P227" s="5" t="n">
        <v>0</v>
      </c>
      <c r="Q227" s="8">
        <f>IFERROR(G227/L227,0)</f>
        <v/>
      </c>
      <c r="R227" s="8" t="n">
        <v>7291</v>
      </c>
      <c r="S227" s="10">
        <f>IFERROR(R227/G227,0)</f>
        <v/>
      </c>
    </row>
    <row r="228">
      <c r="A228" s="7" t="n">
        <v>46152</v>
      </c>
      <c r="B228" s="5" t="inlineStr">
        <is>
          <t>Aurelia Jewellery</t>
        </is>
      </c>
      <c r="C228" s="5" t="inlineStr">
        <is>
          <t>Luxury / Jewellery</t>
        </is>
      </c>
      <c r="D228" s="5" t="inlineStr">
        <is>
          <t>B2C</t>
        </is>
      </c>
      <c r="E228" s="5" t="inlineStr">
        <is>
          <t>Pinterest</t>
        </is>
      </c>
      <c r="F228" s="5" t="inlineStr">
        <is>
          <t>aureliajewellery.example.com</t>
        </is>
      </c>
      <c r="G228" s="8" t="n">
        <v>2065</v>
      </c>
      <c r="H228" s="8" t="n">
        <v>1022</v>
      </c>
      <c r="I228" s="8" t="n">
        <v>13</v>
      </c>
      <c r="J228" s="9">
        <f>I228/H228</f>
        <v/>
      </c>
      <c r="K228" s="8" t="n">
        <v>12</v>
      </c>
      <c r="L228" s="8" t="n">
        <v>0</v>
      </c>
      <c r="M228" s="5" t="inlineStr">
        <is>
          <t>N/A</t>
        </is>
      </c>
      <c r="N228" s="5" t="inlineStr">
        <is>
          <t>N/A</t>
        </is>
      </c>
      <c r="O228" s="8" t="inlineStr">
        <is>
          <t>N/A</t>
        </is>
      </c>
      <c r="P228" s="5" t="n">
        <v>0</v>
      </c>
      <c r="Q228" s="8">
        <f>IFERROR(G228/L228,0)</f>
        <v/>
      </c>
      <c r="R228" s="8" t="n">
        <v>5679</v>
      </c>
      <c r="S228" s="10">
        <f>IFERROR(R228/G228,0)</f>
        <v/>
      </c>
    </row>
    <row r="229">
      <c r="A229" s="7" t="n">
        <v>46153</v>
      </c>
      <c r="B229" s="5" t="inlineStr">
        <is>
          <t>Aurelia Jewellery</t>
        </is>
      </c>
      <c r="C229" s="5" t="inlineStr">
        <is>
          <t>Luxury / Jewellery</t>
        </is>
      </c>
      <c r="D229" s="5" t="inlineStr">
        <is>
          <t>B2C</t>
        </is>
      </c>
      <c r="E229" s="5" t="inlineStr">
        <is>
          <t>Pinterest</t>
        </is>
      </c>
      <c r="F229" s="5" t="inlineStr">
        <is>
          <t>aureliajewellery.example.com</t>
        </is>
      </c>
      <c r="G229" s="8" t="n">
        <v>2304</v>
      </c>
      <c r="H229" s="8" t="n">
        <v>1218</v>
      </c>
      <c r="I229" s="8" t="n">
        <v>16</v>
      </c>
      <c r="J229" s="9">
        <f>I229/H229</f>
        <v/>
      </c>
      <c r="K229" s="8" t="n">
        <v>15</v>
      </c>
      <c r="L229" s="8" t="n">
        <v>0</v>
      </c>
      <c r="M229" s="5" t="inlineStr">
        <is>
          <t>N/A</t>
        </is>
      </c>
      <c r="N229" s="5" t="inlineStr">
        <is>
          <t>N/A</t>
        </is>
      </c>
      <c r="O229" s="8" t="inlineStr">
        <is>
          <t>N/A</t>
        </is>
      </c>
      <c r="P229" s="5" t="n">
        <v>0</v>
      </c>
      <c r="Q229" s="8">
        <f>IFERROR(G229/L229,0)</f>
        <v/>
      </c>
      <c r="R229" s="8" t="n">
        <v>6771</v>
      </c>
      <c r="S229" s="10">
        <f>IFERROR(R229/G229,0)</f>
        <v/>
      </c>
    </row>
    <row r="230">
      <c r="A230" s="7" t="n">
        <v>46154</v>
      </c>
      <c r="B230" s="5" t="inlineStr">
        <is>
          <t>Aurelia Jewellery</t>
        </is>
      </c>
      <c r="C230" s="5" t="inlineStr">
        <is>
          <t>Luxury / Jewellery</t>
        </is>
      </c>
      <c r="D230" s="5" t="inlineStr">
        <is>
          <t>B2C</t>
        </is>
      </c>
      <c r="E230" s="5" t="inlineStr">
        <is>
          <t>Pinterest</t>
        </is>
      </c>
      <c r="F230" s="5" t="inlineStr">
        <is>
          <t>aureliajewellery.example.com</t>
        </is>
      </c>
      <c r="G230" s="8" t="n">
        <v>2333</v>
      </c>
      <c r="H230" s="8" t="n">
        <v>1417</v>
      </c>
      <c r="I230" s="8" t="n">
        <v>18</v>
      </c>
      <c r="J230" s="9">
        <f>I230/H230</f>
        <v/>
      </c>
      <c r="K230" s="8" t="n">
        <v>18</v>
      </c>
      <c r="L230" s="8" t="n">
        <v>0</v>
      </c>
      <c r="M230" s="5" t="inlineStr">
        <is>
          <t>N/A</t>
        </is>
      </c>
      <c r="N230" s="5" t="inlineStr">
        <is>
          <t>N/A</t>
        </is>
      </c>
      <c r="O230" s="8" t="inlineStr">
        <is>
          <t>N/A</t>
        </is>
      </c>
      <c r="P230" s="5" t="n">
        <v>0</v>
      </c>
      <c r="Q230" s="8">
        <f>IFERROR(G230/L230,0)</f>
        <v/>
      </c>
      <c r="R230" s="8" t="n">
        <v>7874</v>
      </c>
      <c r="S230" s="10">
        <f>IFERROR(R230/G230,0)</f>
        <v/>
      </c>
    </row>
    <row r="231">
      <c r="A231" s="7" t="n">
        <v>46155</v>
      </c>
      <c r="B231" s="5" t="inlineStr">
        <is>
          <t>Aurelia Jewellery</t>
        </is>
      </c>
      <c r="C231" s="5" t="inlineStr">
        <is>
          <t>Luxury / Jewellery</t>
        </is>
      </c>
      <c r="D231" s="5" t="inlineStr">
        <is>
          <t>B2C</t>
        </is>
      </c>
      <c r="E231" s="5" t="inlineStr">
        <is>
          <t>Pinterest</t>
        </is>
      </c>
      <c r="F231" s="5" t="inlineStr">
        <is>
          <t>aureliajewellery.example.com</t>
        </is>
      </c>
      <c r="G231" s="8" t="n">
        <v>2440</v>
      </c>
      <c r="H231" s="8" t="n">
        <v>1379</v>
      </c>
      <c r="I231" s="8" t="n">
        <v>18</v>
      </c>
      <c r="J231" s="9">
        <f>I231/H231</f>
        <v/>
      </c>
      <c r="K231" s="8" t="n">
        <v>17</v>
      </c>
      <c r="L231" s="8" t="n">
        <v>0</v>
      </c>
      <c r="M231" s="5" t="inlineStr">
        <is>
          <t>N/A</t>
        </is>
      </c>
      <c r="N231" s="5" t="inlineStr">
        <is>
          <t>N/A</t>
        </is>
      </c>
      <c r="O231" s="8" t="inlineStr">
        <is>
          <t>N/A</t>
        </is>
      </c>
      <c r="P231" s="5" t="n">
        <v>0</v>
      </c>
      <c r="Q231" s="8">
        <f>IFERROR(G231/L231,0)</f>
        <v/>
      </c>
      <c r="R231" s="8" t="n">
        <v>7666</v>
      </c>
      <c r="S231" s="10">
        <f>IFERROR(R231/G231,0)</f>
        <v/>
      </c>
    </row>
    <row r="232">
      <c r="A232" s="7" t="n">
        <v>46156</v>
      </c>
      <c r="B232" s="5" t="inlineStr">
        <is>
          <t>Aurelia Jewellery</t>
        </is>
      </c>
      <c r="C232" s="5" t="inlineStr">
        <is>
          <t>Luxury / Jewellery</t>
        </is>
      </c>
      <c r="D232" s="5" t="inlineStr">
        <is>
          <t>B2C</t>
        </is>
      </c>
      <c r="E232" s="5" t="inlineStr">
        <is>
          <t>Pinterest</t>
        </is>
      </c>
      <c r="F232" s="5" t="inlineStr">
        <is>
          <t>aureliajewellery.example.com</t>
        </is>
      </c>
      <c r="G232" s="8" t="n">
        <v>2065</v>
      </c>
      <c r="H232" s="8" t="n">
        <v>928</v>
      </c>
      <c r="I232" s="8" t="n">
        <v>12</v>
      </c>
      <c r="J232" s="9">
        <f>I232/H232</f>
        <v/>
      </c>
      <c r="K232" s="8" t="n">
        <v>10</v>
      </c>
      <c r="L232" s="8" t="n">
        <v>0</v>
      </c>
      <c r="M232" s="5" t="inlineStr">
        <is>
          <t>N/A</t>
        </is>
      </c>
      <c r="N232" s="5" t="inlineStr">
        <is>
          <t>N/A</t>
        </is>
      </c>
      <c r="O232" s="8" t="inlineStr">
        <is>
          <t>N/A</t>
        </is>
      </c>
      <c r="P232" s="5" t="n">
        <v>0</v>
      </c>
      <c r="Q232" s="8">
        <f>IFERROR(G232/L232,0)</f>
        <v/>
      </c>
      <c r="R232" s="8" t="n">
        <v>5157</v>
      </c>
      <c r="S232" s="10">
        <f>IFERROR(R232/G232,0)</f>
        <v/>
      </c>
    </row>
    <row r="233">
      <c r="A233" s="7" t="n">
        <v>46157</v>
      </c>
      <c r="B233" s="5" t="inlineStr">
        <is>
          <t>Aurelia Jewellery</t>
        </is>
      </c>
      <c r="C233" s="5" t="inlineStr">
        <is>
          <t>Luxury / Jewellery</t>
        </is>
      </c>
      <c r="D233" s="5" t="inlineStr">
        <is>
          <t>B2C</t>
        </is>
      </c>
      <c r="E233" s="5" t="inlineStr">
        <is>
          <t>Pinterest</t>
        </is>
      </c>
      <c r="F233" s="5" t="inlineStr">
        <is>
          <t>aureliajewellery.example.com</t>
        </is>
      </c>
      <c r="G233" s="8" t="n">
        <v>2165</v>
      </c>
      <c r="H233" s="8" t="n">
        <v>1261</v>
      </c>
      <c r="I233" s="8" t="n">
        <v>16</v>
      </c>
      <c r="J233" s="9">
        <f>I233/H233</f>
        <v/>
      </c>
      <c r="K233" s="8" t="n">
        <v>15</v>
      </c>
      <c r="L233" s="8" t="n">
        <v>0</v>
      </c>
      <c r="M233" s="5" t="inlineStr">
        <is>
          <t>N/A</t>
        </is>
      </c>
      <c r="N233" s="5" t="inlineStr">
        <is>
          <t>N/A</t>
        </is>
      </c>
      <c r="O233" s="8" t="inlineStr">
        <is>
          <t>N/A</t>
        </is>
      </c>
      <c r="P233" s="5" t="n">
        <v>0</v>
      </c>
      <c r="Q233" s="8">
        <f>IFERROR(G233/L233,0)</f>
        <v/>
      </c>
      <c r="R233" s="8" t="n">
        <v>7006</v>
      </c>
      <c r="S233" s="10">
        <f>IFERROR(R233/G233,0)</f>
        <v/>
      </c>
    </row>
    <row r="234">
      <c r="A234" s="7" t="n">
        <v>46158</v>
      </c>
      <c r="B234" s="5" t="inlineStr">
        <is>
          <t>Aurelia Jewellery</t>
        </is>
      </c>
      <c r="C234" s="5" t="inlineStr">
        <is>
          <t>Luxury / Jewellery</t>
        </is>
      </c>
      <c r="D234" s="5" t="inlineStr">
        <is>
          <t>B2C</t>
        </is>
      </c>
      <c r="E234" s="5" t="inlineStr">
        <is>
          <t>Pinterest</t>
        </is>
      </c>
      <c r="F234" s="5" t="inlineStr">
        <is>
          <t>aureliajewellery.example.com</t>
        </is>
      </c>
      <c r="G234" s="8" t="n">
        <v>2315</v>
      </c>
      <c r="H234" s="8" t="n">
        <v>1087</v>
      </c>
      <c r="I234" s="8" t="n">
        <v>14</v>
      </c>
      <c r="J234" s="9">
        <f>I234/H234</f>
        <v/>
      </c>
      <c r="K234" s="8" t="n">
        <v>13</v>
      </c>
      <c r="L234" s="8" t="n">
        <v>0</v>
      </c>
      <c r="M234" s="5" t="inlineStr">
        <is>
          <t>N/A</t>
        </is>
      </c>
      <c r="N234" s="5" t="inlineStr">
        <is>
          <t>N/A</t>
        </is>
      </c>
      <c r="O234" s="8" t="inlineStr">
        <is>
          <t>N/A</t>
        </is>
      </c>
      <c r="P234" s="5" t="n">
        <v>0</v>
      </c>
      <c r="Q234" s="8">
        <f>IFERROR(G234/L234,0)</f>
        <v/>
      </c>
      <c r="R234" s="8" t="n">
        <v>6041</v>
      </c>
      <c r="S234" s="10">
        <f>IFERROR(R234/G234,0)</f>
        <v/>
      </c>
    </row>
    <row r="235">
      <c r="A235" s="7" t="n">
        <v>46159</v>
      </c>
      <c r="B235" s="5" t="inlineStr">
        <is>
          <t>Aurelia Jewellery</t>
        </is>
      </c>
      <c r="C235" s="5" t="inlineStr">
        <is>
          <t>Luxury / Jewellery</t>
        </is>
      </c>
      <c r="D235" s="5" t="inlineStr">
        <is>
          <t>B2C</t>
        </is>
      </c>
      <c r="E235" s="5" t="inlineStr">
        <is>
          <t>Pinterest</t>
        </is>
      </c>
      <c r="F235" s="5" t="inlineStr">
        <is>
          <t>aureliajewellery.example.com</t>
        </is>
      </c>
      <c r="G235" s="8" t="n">
        <v>2209</v>
      </c>
      <c r="H235" s="8" t="n">
        <v>1394</v>
      </c>
      <c r="I235" s="8" t="n">
        <v>18</v>
      </c>
      <c r="J235" s="9">
        <f>I235/H235</f>
        <v/>
      </c>
      <c r="K235" s="8" t="n">
        <v>16</v>
      </c>
      <c r="L235" s="8" t="n">
        <v>0</v>
      </c>
      <c r="M235" s="5" t="inlineStr">
        <is>
          <t>N/A</t>
        </is>
      </c>
      <c r="N235" s="5" t="inlineStr">
        <is>
          <t>N/A</t>
        </is>
      </c>
      <c r="O235" s="8" t="inlineStr">
        <is>
          <t>N/A</t>
        </is>
      </c>
      <c r="P235" s="5" t="n">
        <v>0</v>
      </c>
      <c r="Q235" s="8">
        <f>IFERROR(G235/L235,0)</f>
        <v/>
      </c>
      <c r="R235" s="8" t="n">
        <v>7750</v>
      </c>
      <c r="S235" s="10">
        <f>IFERROR(R235/G235,0)</f>
        <v/>
      </c>
    </row>
    <row r="236">
      <c r="A236" s="7" t="n">
        <v>46160</v>
      </c>
      <c r="B236" s="5" t="inlineStr">
        <is>
          <t>Aurelia Jewellery</t>
        </is>
      </c>
      <c r="C236" s="5" t="inlineStr">
        <is>
          <t>Luxury / Jewellery</t>
        </is>
      </c>
      <c r="D236" s="5" t="inlineStr">
        <is>
          <t>B2C</t>
        </is>
      </c>
      <c r="E236" s="5" t="inlineStr">
        <is>
          <t>Pinterest</t>
        </is>
      </c>
      <c r="F236" s="5" t="inlineStr">
        <is>
          <t>aureliajewellery.example.com</t>
        </is>
      </c>
      <c r="G236" s="8" t="n">
        <v>2028</v>
      </c>
      <c r="H236" s="8" t="n">
        <v>1229</v>
      </c>
      <c r="I236" s="8" t="n">
        <v>16</v>
      </c>
      <c r="J236" s="9">
        <f>I236/H236</f>
        <v/>
      </c>
      <c r="K236" s="8" t="n">
        <v>14</v>
      </c>
      <c r="L236" s="8" t="n">
        <v>0</v>
      </c>
      <c r="M236" s="5" t="inlineStr">
        <is>
          <t>N/A</t>
        </is>
      </c>
      <c r="N236" s="5" t="inlineStr">
        <is>
          <t>N/A</t>
        </is>
      </c>
      <c r="O236" s="8" t="inlineStr">
        <is>
          <t>N/A</t>
        </is>
      </c>
      <c r="P236" s="5" t="n">
        <v>0</v>
      </c>
      <c r="Q236" s="8">
        <f>IFERROR(G236/L236,0)</f>
        <v/>
      </c>
      <c r="R236" s="8" t="n">
        <v>6831</v>
      </c>
      <c r="S236" s="10">
        <f>IFERROR(R236/G236,0)</f>
        <v/>
      </c>
    </row>
    <row r="237">
      <c r="A237" s="7" t="n">
        <v>46161</v>
      </c>
      <c r="B237" s="5" t="inlineStr">
        <is>
          <t>Aurelia Jewellery</t>
        </is>
      </c>
      <c r="C237" s="5" t="inlineStr">
        <is>
          <t>Luxury / Jewellery</t>
        </is>
      </c>
      <c r="D237" s="5" t="inlineStr">
        <is>
          <t>B2C</t>
        </is>
      </c>
      <c r="E237" s="5" t="inlineStr">
        <is>
          <t>Pinterest</t>
        </is>
      </c>
      <c r="F237" s="5" t="inlineStr">
        <is>
          <t>aureliajewellery.example.com</t>
        </is>
      </c>
      <c r="G237" s="8" t="n">
        <v>2264</v>
      </c>
      <c r="H237" s="8" t="n">
        <v>1265</v>
      </c>
      <c r="I237" s="8" t="n">
        <v>16</v>
      </c>
      <c r="J237" s="9">
        <f>I237/H237</f>
        <v/>
      </c>
      <c r="K237" s="8" t="n">
        <v>14</v>
      </c>
      <c r="L237" s="8" t="n">
        <v>0</v>
      </c>
      <c r="M237" s="5" t="inlineStr">
        <is>
          <t>N/A</t>
        </is>
      </c>
      <c r="N237" s="5" t="inlineStr">
        <is>
          <t>N/A</t>
        </is>
      </c>
      <c r="O237" s="8" t="inlineStr">
        <is>
          <t>N/A</t>
        </is>
      </c>
      <c r="P237" s="5" t="n">
        <v>0</v>
      </c>
      <c r="Q237" s="8">
        <f>IFERROR(G237/L237,0)</f>
        <v/>
      </c>
      <c r="R237" s="8" t="n">
        <v>7028</v>
      </c>
      <c r="S237" s="10">
        <f>IFERROR(R237/G237,0)</f>
        <v/>
      </c>
    </row>
    <row r="238">
      <c r="A238" s="7" t="n">
        <v>46162</v>
      </c>
      <c r="B238" s="5" t="inlineStr">
        <is>
          <t>Aurelia Jewellery</t>
        </is>
      </c>
      <c r="C238" s="5" t="inlineStr">
        <is>
          <t>Luxury / Jewellery</t>
        </is>
      </c>
      <c r="D238" s="5" t="inlineStr">
        <is>
          <t>B2C</t>
        </is>
      </c>
      <c r="E238" s="5" t="inlineStr">
        <is>
          <t>Pinterest</t>
        </is>
      </c>
      <c r="F238" s="5" t="inlineStr">
        <is>
          <t>aureliajewellery.example.com</t>
        </is>
      </c>
      <c r="G238" s="8" t="n">
        <v>2289</v>
      </c>
      <c r="H238" s="8" t="n">
        <v>1259</v>
      </c>
      <c r="I238" s="8" t="n">
        <v>16</v>
      </c>
      <c r="J238" s="9">
        <f>I238/H238</f>
        <v/>
      </c>
      <c r="K238" s="8" t="n">
        <v>15</v>
      </c>
      <c r="L238" s="8" t="n">
        <v>0</v>
      </c>
      <c r="M238" s="5" t="inlineStr">
        <is>
          <t>N/A</t>
        </is>
      </c>
      <c r="N238" s="5" t="inlineStr">
        <is>
          <t>N/A</t>
        </is>
      </c>
      <c r="O238" s="8" t="inlineStr">
        <is>
          <t>N/A</t>
        </is>
      </c>
      <c r="P238" s="5" t="n">
        <v>0</v>
      </c>
      <c r="Q238" s="8">
        <f>IFERROR(G238/L238,0)</f>
        <v/>
      </c>
      <c r="R238" s="8" t="n">
        <v>6997</v>
      </c>
      <c r="S238" s="10">
        <f>IFERROR(R238/G238,0)</f>
        <v/>
      </c>
    </row>
    <row r="239">
      <c r="A239" s="7" t="n">
        <v>46163</v>
      </c>
      <c r="B239" s="5" t="inlineStr">
        <is>
          <t>Aurelia Jewellery</t>
        </is>
      </c>
      <c r="C239" s="5" t="inlineStr">
        <is>
          <t>Luxury / Jewellery</t>
        </is>
      </c>
      <c r="D239" s="5" t="inlineStr">
        <is>
          <t>B2C</t>
        </is>
      </c>
      <c r="E239" s="5" t="inlineStr">
        <is>
          <t>Pinterest</t>
        </is>
      </c>
      <c r="F239" s="5" t="inlineStr">
        <is>
          <t>aureliajewellery.example.com</t>
        </is>
      </c>
      <c r="G239" s="8" t="n">
        <v>2214</v>
      </c>
      <c r="H239" s="8" t="n">
        <v>1165</v>
      </c>
      <c r="I239" s="8" t="n">
        <v>15</v>
      </c>
      <c r="J239" s="9">
        <f>I239/H239</f>
        <v/>
      </c>
      <c r="K239" s="8" t="n">
        <v>14</v>
      </c>
      <c r="L239" s="8" t="n">
        <v>0</v>
      </c>
      <c r="M239" s="5" t="inlineStr">
        <is>
          <t>N/A</t>
        </is>
      </c>
      <c r="N239" s="5" t="inlineStr">
        <is>
          <t>N/A</t>
        </is>
      </c>
      <c r="O239" s="8" t="inlineStr">
        <is>
          <t>N/A</t>
        </is>
      </c>
      <c r="P239" s="5" t="n">
        <v>0</v>
      </c>
      <c r="Q239" s="8">
        <f>IFERROR(G239/L239,0)</f>
        <v/>
      </c>
      <c r="R239" s="8" t="n">
        <v>6474</v>
      </c>
      <c r="S239" s="10">
        <f>IFERROR(R239/G239,0)</f>
        <v/>
      </c>
    </row>
    <row r="240">
      <c r="A240" s="7" t="n">
        <v>46164</v>
      </c>
      <c r="B240" s="5" t="inlineStr">
        <is>
          <t>Aurelia Jewellery</t>
        </is>
      </c>
      <c r="C240" s="5" t="inlineStr">
        <is>
          <t>Luxury / Jewellery</t>
        </is>
      </c>
      <c r="D240" s="5" t="inlineStr">
        <is>
          <t>B2C</t>
        </is>
      </c>
      <c r="E240" s="5" t="inlineStr">
        <is>
          <t>Pinterest</t>
        </is>
      </c>
      <c r="F240" s="5" t="inlineStr">
        <is>
          <t>aureliajewellery.example.com</t>
        </is>
      </c>
      <c r="G240" s="8" t="n">
        <v>2234</v>
      </c>
      <c r="H240" s="8" t="n">
        <v>1304</v>
      </c>
      <c r="I240" s="8" t="n">
        <v>17</v>
      </c>
      <c r="J240" s="9">
        <f>I240/H240</f>
        <v/>
      </c>
      <c r="K240" s="8" t="n">
        <v>15</v>
      </c>
      <c r="L240" s="8" t="n">
        <v>0</v>
      </c>
      <c r="M240" s="5" t="inlineStr">
        <is>
          <t>N/A</t>
        </is>
      </c>
      <c r="N240" s="5" t="inlineStr">
        <is>
          <t>N/A</t>
        </is>
      </c>
      <c r="O240" s="8" t="inlineStr">
        <is>
          <t>N/A</t>
        </is>
      </c>
      <c r="P240" s="5" t="n">
        <v>0</v>
      </c>
      <c r="Q240" s="8">
        <f>IFERROR(G240/L240,0)</f>
        <v/>
      </c>
      <c r="R240" s="8" t="n">
        <v>7247</v>
      </c>
      <c r="S240" s="10">
        <f>IFERROR(R240/G240,0)</f>
        <v/>
      </c>
    </row>
    <row r="241">
      <c r="A241" s="7" t="n">
        <v>46165</v>
      </c>
      <c r="B241" s="5" t="inlineStr">
        <is>
          <t>Aurelia Jewellery</t>
        </is>
      </c>
      <c r="C241" s="5" t="inlineStr">
        <is>
          <t>Luxury / Jewellery</t>
        </is>
      </c>
      <c r="D241" s="5" t="inlineStr">
        <is>
          <t>B2C</t>
        </is>
      </c>
      <c r="E241" s="5" t="inlineStr">
        <is>
          <t>Pinterest</t>
        </is>
      </c>
      <c r="F241" s="5" t="inlineStr">
        <is>
          <t>aureliajewellery.example.com</t>
        </is>
      </c>
      <c r="G241" s="8" t="n">
        <v>2160</v>
      </c>
      <c r="H241" s="8" t="n">
        <v>1114</v>
      </c>
      <c r="I241" s="8" t="n">
        <v>14</v>
      </c>
      <c r="J241" s="9">
        <f>I241/H241</f>
        <v/>
      </c>
      <c r="K241" s="8" t="n">
        <v>14</v>
      </c>
      <c r="L241" s="8" t="n">
        <v>0</v>
      </c>
      <c r="M241" s="5" t="inlineStr">
        <is>
          <t>N/A</t>
        </is>
      </c>
      <c r="N241" s="5" t="inlineStr">
        <is>
          <t>N/A</t>
        </is>
      </c>
      <c r="O241" s="8" t="inlineStr">
        <is>
          <t>N/A</t>
        </is>
      </c>
      <c r="P241" s="5" t="n">
        <v>0</v>
      </c>
      <c r="Q241" s="8">
        <f>IFERROR(G241/L241,0)</f>
        <v/>
      </c>
      <c r="R241" s="8" t="n">
        <v>6192</v>
      </c>
      <c r="S241" s="10">
        <f>IFERROR(R241/G241,0)</f>
        <v/>
      </c>
    </row>
    <row r="242">
      <c r="A242" s="7" t="n">
        <v>46166</v>
      </c>
      <c r="B242" s="5" t="inlineStr">
        <is>
          <t>Aurelia Jewellery</t>
        </is>
      </c>
      <c r="C242" s="5" t="inlineStr">
        <is>
          <t>Luxury / Jewellery</t>
        </is>
      </c>
      <c r="D242" s="5" t="inlineStr">
        <is>
          <t>B2C</t>
        </is>
      </c>
      <c r="E242" s="5" t="inlineStr">
        <is>
          <t>Pinterest</t>
        </is>
      </c>
      <c r="F242" s="5" t="inlineStr">
        <is>
          <t>aureliajewellery.example.com</t>
        </is>
      </c>
      <c r="G242" s="8" t="n">
        <v>2428</v>
      </c>
      <c r="H242" s="8" t="n">
        <v>1348</v>
      </c>
      <c r="I242" s="8" t="n">
        <v>18</v>
      </c>
      <c r="J242" s="9">
        <f>I242/H242</f>
        <v/>
      </c>
      <c r="K242" s="8" t="n">
        <v>17</v>
      </c>
      <c r="L242" s="8" t="n">
        <v>0</v>
      </c>
      <c r="M242" s="5" t="inlineStr">
        <is>
          <t>N/A</t>
        </is>
      </c>
      <c r="N242" s="5" t="inlineStr">
        <is>
          <t>N/A</t>
        </is>
      </c>
      <c r="O242" s="8" t="inlineStr">
        <is>
          <t>N/A</t>
        </is>
      </c>
      <c r="P242" s="5" t="n">
        <v>0</v>
      </c>
      <c r="Q242" s="8">
        <f>IFERROR(G242/L242,0)</f>
        <v/>
      </c>
      <c r="R242" s="8" t="n">
        <v>7489</v>
      </c>
      <c r="S242" s="10">
        <f>IFERROR(R242/G242,0)</f>
        <v/>
      </c>
    </row>
    <row r="243">
      <c r="A243" s="7" t="n">
        <v>46167</v>
      </c>
      <c r="B243" s="5" t="inlineStr">
        <is>
          <t>Aurelia Jewellery</t>
        </is>
      </c>
      <c r="C243" s="5" t="inlineStr">
        <is>
          <t>Luxury / Jewellery</t>
        </is>
      </c>
      <c r="D243" s="5" t="inlineStr">
        <is>
          <t>B2C</t>
        </is>
      </c>
      <c r="E243" s="5" t="inlineStr">
        <is>
          <t>Pinterest</t>
        </is>
      </c>
      <c r="F243" s="5" t="inlineStr">
        <is>
          <t>aureliajewellery.example.com</t>
        </is>
      </c>
      <c r="G243" s="8" t="n">
        <v>2061</v>
      </c>
      <c r="H243" s="8" t="n">
        <v>1229</v>
      </c>
      <c r="I243" s="8" t="n">
        <v>16</v>
      </c>
      <c r="J243" s="9">
        <f>I243/H243</f>
        <v/>
      </c>
      <c r="K243" s="8" t="n">
        <v>14</v>
      </c>
      <c r="L243" s="8" t="n">
        <v>0</v>
      </c>
      <c r="M243" s="5" t="inlineStr">
        <is>
          <t>N/A</t>
        </is>
      </c>
      <c r="N243" s="5" t="inlineStr">
        <is>
          <t>N/A</t>
        </is>
      </c>
      <c r="O243" s="8" t="inlineStr">
        <is>
          <t>N/A</t>
        </is>
      </c>
      <c r="P243" s="5" t="n">
        <v>0</v>
      </c>
      <c r="Q243" s="8">
        <f>IFERROR(G243/L243,0)</f>
        <v/>
      </c>
      <c r="R243" s="8" t="n">
        <v>6831</v>
      </c>
      <c r="S243" s="10">
        <f>IFERROR(R243/G243,0)</f>
        <v/>
      </c>
    </row>
    <row r="244">
      <c r="A244" s="7" t="n">
        <v>46168</v>
      </c>
      <c r="B244" s="5" t="inlineStr">
        <is>
          <t>Aurelia Jewellery</t>
        </is>
      </c>
      <c r="C244" s="5" t="inlineStr">
        <is>
          <t>Luxury / Jewellery</t>
        </is>
      </c>
      <c r="D244" s="5" t="inlineStr">
        <is>
          <t>B2C</t>
        </is>
      </c>
      <c r="E244" s="5" t="inlineStr">
        <is>
          <t>Pinterest</t>
        </is>
      </c>
      <c r="F244" s="5" t="inlineStr">
        <is>
          <t>aureliajewellery.example.com</t>
        </is>
      </c>
      <c r="G244" s="8" t="n">
        <v>2110</v>
      </c>
      <c r="H244" s="8" t="n">
        <v>1062</v>
      </c>
      <c r="I244" s="8" t="n">
        <v>14</v>
      </c>
      <c r="J244" s="9">
        <f>I244/H244</f>
        <v/>
      </c>
      <c r="K244" s="8" t="n">
        <v>13</v>
      </c>
      <c r="L244" s="8" t="n">
        <v>0</v>
      </c>
      <c r="M244" s="5" t="inlineStr">
        <is>
          <t>N/A</t>
        </is>
      </c>
      <c r="N244" s="5" t="inlineStr">
        <is>
          <t>N/A</t>
        </is>
      </c>
      <c r="O244" s="8" t="inlineStr">
        <is>
          <t>N/A</t>
        </is>
      </c>
      <c r="P244" s="5" t="n">
        <v>0</v>
      </c>
      <c r="Q244" s="8">
        <f>IFERROR(G244/L244,0)</f>
        <v/>
      </c>
      <c r="R244" s="8" t="n">
        <v>5902</v>
      </c>
      <c r="S244" s="10">
        <f>IFERROR(R244/G244,0)</f>
        <v/>
      </c>
    </row>
    <row r="245">
      <c r="A245" s="7" t="n">
        <v>46169</v>
      </c>
      <c r="B245" s="5" t="inlineStr">
        <is>
          <t>Aurelia Jewellery</t>
        </is>
      </c>
      <c r="C245" s="5" t="inlineStr">
        <is>
          <t>Luxury / Jewellery</t>
        </is>
      </c>
      <c r="D245" s="5" t="inlineStr">
        <is>
          <t>B2C</t>
        </is>
      </c>
      <c r="E245" s="5" t="inlineStr">
        <is>
          <t>Pinterest</t>
        </is>
      </c>
      <c r="F245" s="5" t="inlineStr">
        <is>
          <t>aureliajewellery.example.com</t>
        </is>
      </c>
      <c r="G245" s="8" t="n">
        <v>2202</v>
      </c>
      <c r="H245" s="8" t="n">
        <v>1101</v>
      </c>
      <c r="I245" s="8" t="n">
        <v>14</v>
      </c>
      <c r="J245" s="9">
        <f>I245/H245</f>
        <v/>
      </c>
      <c r="K245" s="8" t="n">
        <v>12</v>
      </c>
      <c r="L245" s="8" t="n">
        <v>0</v>
      </c>
      <c r="M245" s="5" t="inlineStr">
        <is>
          <t>N/A</t>
        </is>
      </c>
      <c r="N245" s="5" t="inlineStr">
        <is>
          <t>N/A</t>
        </is>
      </c>
      <c r="O245" s="8" t="inlineStr">
        <is>
          <t>N/A</t>
        </is>
      </c>
      <c r="P245" s="5" t="n">
        <v>0</v>
      </c>
      <c r="Q245" s="8">
        <f>IFERROR(G245/L245,0)</f>
        <v/>
      </c>
      <c r="R245" s="8" t="n">
        <v>6117</v>
      </c>
      <c r="S245" s="10">
        <f>IFERROR(R245/G245,0)</f>
        <v/>
      </c>
    </row>
    <row r="246">
      <c r="A246" s="7" t="n">
        <v>46170</v>
      </c>
      <c r="B246" s="5" t="inlineStr">
        <is>
          <t>Aurelia Jewellery</t>
        </is>
      </c>
      <c r="C246" s="5" t="inlineStr">
        <is>
          <t>Luxury / Jewellery</t>
        </is>
      </c>
      <c r="D246" s="5" t="inlineStr">
        <is>
          <t>B2C</t>
        </is>
      </c>
      <c r="E246" s="5" t="inlineStr">
        <is>
          <t>Pinterest</t>
        </is>
      </c>
      <c r="F246" s="5" t="inlineStr">
        <is>
          <t>aureliajewellery.example.com</t>
        </is>
      </c>
      <c r="G246" s="8" t="n">
        <v>2335</v>
      </c>
      <c r="H246" s="8" t="n">
        <v>1080</v>
      </c>
      <c r="I246" s="8" t="n">
        <v>14</v>
      </c>
      <c r="J246" s="9">
        <f>I246/H246</f>
        <v/>
      </c>
      <c r="K246" s="8" t="n">
        <v>14</v>
      </c>
      <c r="L246" s="8" t="n">
        <v>0</v>
      </c>
      <c r="M246" s="5" t="inlineStr">
        <is>
          <t>N/A</t>
        </is>
      </c>
      <c r="N246" s="5" t="inlineStr">
        <is>
          <t>N/A</t>
        </is>
      </c>
      <c r="O246" s="8" t="inlineStr">
        <is>
          <t>N/A</t>
        </is>
      </c>
      <c r="P246" s="5" t="n">
        <v>0</v>
      </c>
      <c r="Q246" s="8">
        <f>IFERROR(G246/L246,0)</f>
        <v/>
      </c>
      <c r="R246" s="8" t="n">
        <v>6002</v>
      </c>
      <c r="S246" s="10">
        <f>IFERROR(R246/G246,0)</f>
        <v/>
      </c>
    </row>
    <row r="247">
      <c r="A247" s="7" t="n">
        <v>46171</v>
      </c>
      <c r="B247" s="5" t="inlineStr">
        <is>
          <t>Aurelia Jewellery</t>
        </is>
      </c>
      <c r="C247" s="5" t="inlineStr">
        <is>
          <t>Luxury / Jewellery</t>
        </is>
      </c>
      <c r="D247" s="5" t="inlineStr">
        <is>
          <t>B2C</t>
        </is>
      </c>
      <c r="E247" s="5" t="inlineStr">
        <is>
          <t>Pinterest</t>
        </is>
      </c>
      <c r="F247" s="5" t="inlineStr">
        <is>
          <t>aureliajewellery.example.com</t>
        </is>
      </c>
      <c r="G247" s="8" t="n">
        <v>1969</v>
      </c>
      <c r="H247" s="8" t="n">
        <v>927</v>
      </c>
      <c r="I247" s="8" t="n">
        <v>12</v>
      </c>
      <c r="J247" s="9">
        <f>I247/H247</f>
        <v/>
      </c>
      <c r="K247" s="8" t="n">
        <v>12</v>
      </c>
      <c r="L247" s="8" t="n">
        <v>0</v>
      </c>
      <c r="M247" s="5" t="inlineStr">
        <is>
          <t>N/A</t>
        </is>
      </c>
      <c r="N247" s="5" t="inlineStr">
        <is>
          <t>N/A</t>
        </is>
      </c>
      <c r="O247" s="8" t="inlineStr">
        <is>
          <t>N/A</t>
        </is>
      </c>
      <c r="P247" s="5" t="n">
        <v>0</v>
      </c>
      <c r="Q247" s="8">
        <f>IFERROR(G247/L247,0)</f>
        <v/>
      </c>
      <c r="R247" s="8" t="n">
        <v>5154</v>
      </c>
      <c r="S247" s="10">
        <f>IFERROR(R247/G247,0)</f>
        <v/>
      </c>
    </row>
    <row r="248">
      <c r="A248" s="7" t="n">
        <v>46172</v>
      </c>
      <c r="B248" s="5" t="inlineStr">
        <is>
          <t>Aurelia Jewellery</t>
        </is>
      </c>
      <c r="C248" s="5" t="inlineStr">
        <is>
          <t>Luxury / Jewellery</t>
        </is>
      </c>
      <c r="D248" s="5" t="inlineStr">
        <is>
          <t>B2C</t>
        </is>
      </c>
      <c r="E248" s="5" t="inlineStr">
        <is>
          <t>Pinterest</t>
        </is>
      </c>
      <c r="F248" s="5" t="inlineStr">
        <is>
          <t>aureliajewellery.example.com</t>
        </is>
      </c>
      <c r="G248" s="8" t="n">
        <v>1998</v>
      </c>
      <c r="H248" s="8" t="n">
        <v>842</v>
      </c>
      <c r="I248" s="8" t="n">
        <v>11</v>
      </c>
      <c r="J248" s="9">
        <f>I248/H248</f>
        <v/>
      </c>
      <c r="K248" s="8" t="n">
        <v>9</v>
      </c>
      <c r="L248" s="8" t="n">
        <v>0</v>
      </c>
      <c r="M248" s="5" t="inlineStr">
        <is>
          <t>N/A</t>
        </is>
      </c>
      <c r="N248" s="5" t="inlineStr">
        <is>
          <t>N/A</t>
        </is>
      </c>
      <c r="O248" s="8" t="inlineStr">
        <is>
          <t>N/A</t>
        </is>
      </c>
      <c r="P248" s="5" t="n">
        <v>0</v>
      </c>
      <c r="Q248" s="8">
        <f>IFERROR(G248/L248,0)</f>
        <v/>
      </c>
      <c r="R248" s="8" t="n">
        <v>4679</v>
      </c>
      <c r="S248" s="10">
        <f>IFERROR(R248/G248,0)</f>
        <v/>
      </c>
    </row>
    <row r="249">
      <c r="A249" s="7" t="n">
        <v>46173</v>
      </c>
      <c r="B249" s="5" t="inlineStr">
        <is>
          <t>Aurelia Jewellery</t>
        </is>
      </c>
      <c r="C249" s="5" t="inlineStr">
        <is>
          <t>Luxury / Jewellery</t>
        </is>
      </c>
      <c r="D249" s="5" t="inlineStr">
        <is>
          <t>B2C</t>
        </is>
      </c>
      <c r="E249" s="5" t="inlineStr">
        <is>
          <t>Pinterest</t>
        </is>
      </c>
      <c r="F249" s="5" t="inlineStr">
        <is>
          <t>aureliajewellery.example.com</t>
        </is>
      </c>
      <c r="G249" s="8" t="n">
        <v>1886</v>
      </c>
      <c r="H249" s="8" t="n">
        <v>1107</v>
      </c>
      <c r="I249" s="8" t="n">
        <v>14</v>
      </c>
      <c r="J249" s="9">
        <f>I249/H249</f>
        <v/>
      </c>
      <c r="K249" s="8" t="n">
        <v>14</v>
      </c>
      <c r="L249" s="8" t="n">
        <v>0</v>
      </c>
      <c r="M249" s="5" t="inlineStr">
        <is>
          <t>N/A</t>
        </is>
      </c>
      <c r="N249" s="5" t="inlineStr">
        <is>
          <t>N/A</t>
        </is>
      </c>
      <c r="O249" s="8" t="inlineStr">
        <is>
          <t>N/A</t>
        </is>
      </c>
      <c r="P249" s="5" t="n">
        <v>0</v>
      </c>
      <c r="Q249" s="8">
        <f>IFERROR(G249/L249,0)</f>
        <v/>
      </c>
      <c r="R249" s="8" t="n">
        <v>6154</v>
      </c>
      <c r="S249" s="10">
        <f>IFERROR(R249/G249,0)</f>
        <v/>
      </c>
    </row>
    <row r="250">
      <c r="A250" s="7" t="n">
        <v>46143</v>
      </c>
      <c r="B250" s="5" t="inlineStr">
        <is>
          <t>Aurelia Jewellery</t>
        </is>
      </c>
      <c r="C250" s="5" t="inlineStr">
        <is>
          <t>Luxury / Jewellery</t>
        </is>
      </c>
      <c r="D250" s="5" t="inlineStr">
        <is>
          <t>B2C</t>
        </is>
      </c>
      <c r="E250" s="5" t="inlineStr">
        <is>
          <t>Google Ads</t>
        </is>
      </c>
      <c r="F250" s="5" t="inlineStr">
        <is>
          <t>aureliajewellery.example.com</t>
        </is>
      </c>
      <c r="G250" s="8" t="n">
        <v>2998</v>
      </c>
      <c r="H250" s="8" t="n">
        <v>905</v>
      </c>
      <c r="I250" s="8" t="n">
        <v>19</v>
      </c>
      <c r="J250" s="9">
        <f>I250/H250</f>
        <v/>
      </c>
      <c r="K250" s="8" t="n">
        <v>17</v>
      </c>
      <c r="L250" s="8" t="n">
        <v>0</v>
      </c>
      <c r="M250" s="5" t="inlineStr">
        <is>
          <t>N/A</t>
        </is>
      </c>
      <c r="N250" s="5" t="inlineStr">
        <is>
          <t>N/A</t>
        </is>
      </c>
      <c r="O250" s="8" t="inlineStr">
        <is>
          <t>N/A</t>
        </is>
      </c>
      <c r="P250" s="5" t="n">
        <v>0</v>
      </c>
      <c r="Q250" s="8">
        <f>IFERROR(G250/L250,0)</f>
        <v/>
      </c>
      <c r="R250" s="8" t="n">
        <v>9755</v>
      </c>
      <c r="S250" s="10">
        <f>IFERROR(R250/G250,0)</f>
        <v/>
      </c>
    </row>
    <row r="251">
      <c r="A251" s="7" t="n">
        <v>46144</v>
      </c>
      <c r="B251" s="5" t="inlineStr">
        <is>
          <t>Aurelia Jewellery</t>
        </is>
      </c>
      <c r="C251" s="5" t="inlineStr">
        <is>
          <t>Luxury / Jewellery</t>
        </is>
      </c>
      <c r="D251" s="5" t="inlineStr">
        <is>
          <t>B2C</t>
        </is>
      </c>
      <c r="E251" s="5" t="inlineStr">
        <is>
          <t>Google Ads</t>
        </is>
      </c>
      <c r="F251" s="5" t="inlineStr">
        <is>
          <t>aureliajewellery.example.com</t>
        </is>
      </c>
      <c r="G251" s="8" t="n">
        <v>3194</v>
      </c>
      <c r="H251" s="8" t="n">
        <v>904</v>
      </c>
      <c r="I251" s="8" t="n">
        <v>19</v>
      </c>
      <c r="J251" s="9">
        <f>I251/H251</f>
        <v/>
      </c>
      <c r="K251" s="8" t="n">
        <v>17</v>
      </c>
      <c r="L251" s="8" t="n">
        <v>0</v>
      </c>
      <c r="M251" s="5" t="inlineStr">
        <is>
          <t>N/A</t>
        </is>
      </c>
      <c r="N251" s="5" t="inlineStr">
        <is>
          <t>N/A</t>
        </is>
      </c>
      <c r="O251" s="8" t="inlineStr">
        <is>
          <t>N/A</t>
        </is>
      </c>
      <c r="P251" s="5" t="n">
        <v>0</v>
      </c>
      <c r="Q251" s="8">
        <f>IFERROR(G251/L251,0)</f>
        <v/>
      </c>
      <c r="R251" s="8" t="n">
        <v>9741</v>
      </c>
      <c r="S251" s="10">
        <f>IFERROR(R251/G251,0)</f>
        <v/>
      </c>
    </row>
    <row r="252">
      <c r="A252" s="7" t="n">
        <v>46145</v>
      </c>
      <c r="B252" s="5" t="inlineStr">
        <is>
          <t>Aurelia Jewellery</t>
        </is>
      </c>
      <c r="C252" s="5" t="inlineStr">
        <is>
          <t>Luxury / Jewellery</t>
        </is>
      </c>
      <c r="D252" s="5" t="inlineStr">
        <is>
          <t>B2C</t>
        </is>
      </c>
      <c r="E252" s="5" t="inlineStr">
        <is>
          <t>Google Ads</t>
        </is>
      </c>
      <c r="F252" s="5" t="inlineStr">
        <is>
          <t>aureliajewellery.example.com</t>
        </is>
      </c>
      <c r="G252" s="8" t="n">
        <v>2931</v>
      </c>
      <c r="H252" s="8" t="n">
        <v>990</v>
      </c>
      <c r="I252" s="8" t="n">
        <v>21</v>
      </c>
      <c r="J252" s="9">
        <f>I252/H252</f>
        <v/>
      </c>
      <c r="K252" s="8" t="n">
        <v>18</v>
      </c>
      <c r="L252" s="8" t="n">
        <v>0</v>
      </c>
      <c r="M252" s="5" t="inlineStr">
        <is>
          <t>N/A</t>
        </is>
      </c>
      <c r="N252" s="5" t="inlineStr">
        <is>
          <t>N/A</t>
        </is>
      </c>
      <c r="O252" s="8" t="inlineStr">
        <is>
          <t>N/A</t>
        </is>
      </c>
      <c r="P252" s="5" t="n">
        <v>0</v>
      </c>
      <c r="Q252" s="8">
        <f>IFERROR(G252/L252,0)</f>
        <v/>
      </c>
      <c r="R252" s="8" t="n">
        <v>10670</v>
      </c>
      <c r="S252" s="10">
        <f>IFERROR(R252/G252,0)</f>
        <v/>
      </c>
    </row>
    <row r="253">
      <c r="A253" s="7" t="n">
        <v>46146</v>
      </c>
      <c r="B253" s="5" t="inlineStr">
        <is>
          <t>Aurelia Jewellery</t>
        </is>
      </c>
      <c r="C253" s="5" t="inlineStr">
        <is>
          <t>Luxury / Jewellery</t>
        </is>
      </c>
      <c r="D253" s="5" t="inlineStr">
        <is>
          <t>B2C</t>
        </is>
      </c>
      <c r="E253" s="5" t="inlineStr">
        <is>
          <t>Google Ads</t>
        </is>
      </c>
      <c r="F253" s="5" t="inlineStr">
        <is>
          <t>aureliajewellery.example.com</t>
        </is>
      </c>
      <c r="G253" s="8" t="n">
        <v>3211</v>
      </c>
      <c r="H253" s="8" t="n">
        <v>915</v>
      </c>
      <c r="I253" s="8" t="n">
        <v>19</v>
      </c>
      <c r="J253" s="9">
        <f>I253/H253</f>
        <v/>
      </c>
      <c r="K253" s="8" t="n">
        <v>18</v>
      </c>
      <c r="L253" s="8" t="n">
        <v>0</v>
      </c>
      <c r="M253" s="5" t="inlineStr">
        <is>
          <t>N/A</t>
        </is>
      </c>
      <c r="N253" s="5" t="inlineStr">
        <is>
          <t>N/A</t>
        </is>
      </c>
      <c r="O253" s="8" t="inlineStr">
        <is>
          <t>N/A</t>
        </is>
      </c>
      <c r="P253" s="5" t="n">
        <v>0</v>
      </c>
      <c r="Q253" s="8">
        <f>IFERROR(G253/L253,0)</f>
        <v/>
      </c>
      <c r="R253" s="8" t="n">
        <v>9855</v>
      </c>
      <c r="S253" s="10">
        <f>IFERROR(R253/G253,0)</f>
        <v/>
      </c>
    </row>
    <row r="254">
      <c r="A254" s="7" t="n">
        <v>46147</v>
      </c>
      <c r="B254" s="5" t="inlineStr">
        <is>
          <t>Aurelia Jewellery</t>
        </is>
      </c>
      <c r="C254" s="5" t="inlineStr">
        <is>
          <t>Luxury / Jewellery</t>
        </is>
      </c>
      <c r="D254" s="5" t="inlineStr">
        <is>
          <t>B2C</t>
        </is>
      </c>
      <c r="E254" s="5" t="inlineStr">
        <is>
          <t>Google Ads</t>
        </is>
      </c>
      <c r="F254" s="5" t="inlineStr">
        <is>
          <t>aureliajewellery.example.com</t>
        </is>
      </c>
      <c r="G254" s="8" t="n">
        <v>3220</v>
      </c>
      <c r="H254" s="8" t="n">
        <v>794</v>
      </c>
      <c r="I254" s="8" t="n">
        <v>17</v>
      </c>
      <c r="J254" s="9">
        <f>I254/H254</f>
        <v/>
      </c>
      <c r="K254" s="8" t="n">
        <v>15</v>
      </c>
      <c r="L254" s="8" t="n">
        <v>0</v>
      </c>
      <c r="M254" s="5" t="inlineStr">
        <is>
          <t>N/A</t>
        </is>
      </c>
      <c r="N254" s="5" t="inlineStr">
        <is>
          <t>N/A</t>
        </is>
      </c>
      <c r="O254" s="8" t="inlineStr">
        <is>
          <t>N/A</t>
        </is>
      </c>
      <c r="P254" s="5" t="n">
        <v>0</v>
      </c>
      <c r="Q254" s="8">
        <f>IFERROR(G254/L254,0)</f>
        <v/>
      </c>
      <c r="R254" s="8" t="n">
        <v>8558</v>
      </c>
      <c r="S254" s="10">
        <f>IFERROR(R254/G254,0)</f>
        <v/>
      </c>
    </row>
    <row r="255">
      <c r="A255" s="7" t="n">
        <v>46148</v>
      </c>
      <c r="B255" s="5" t="inlineStr">
        <is>
          <t>Aurelia Jewellery</t>
        </is>
      </c>
      <c r="C255" s="5" t="inlineStr">
        <is>
          <t>Luxury / Jewellery</t>
        </is>
      </c>
      <c r="D255" s="5" t="inlineStr">
        <is>
          <t>B2C</t>
        </is>
      </c>
      <c r="E255" s="5" t="inlineStr">
        <is>
          <t>Google Ads</t>
        </is>
      </c>
      <c r="F255" s="5" t="inlineStr">
        <is>
          <t>aureliajewellery.example.com</t>
        </is>
      </c>
      <c r="G255" s="8" t="n">
        <v>2467</v>
      </c>
      <c r="H255" s="8" t="n">
        <v>787</v>
      </c>
      <c r="I255" s="8" t="n">
        <v>17</v>
      </c>
      <c r="J255" s="9">
        <f>I255/H255</f>
        <v/>
      </c>
      <c r="K255" s="8" t="n">
        <v>15</v>
      </c>
      <c r="L255" s="8" t="n">
        <v>0</v>
      </c>
      <c r="M255" s="5" t="inlineStr">
        <is>
          <t>N/A</t>
        </is>
      </c>
      <c r="N255" s="5" t="inlineStr">
        <is>
          <t>N/A</t>
        </is>
      </c>
      <c r="O255" s="8" t="inlineStr">
        <is>
          <t>N/A</t>
        </is>
      </c>
      <c r="P255" s="5" t="n">
        <v>0</v>
      </c>
      <c r="Q255" s="8">
        <f>IFERROR(G255/L255,0)</f>
        <v/>
      </c>
      <c r="R255" s="8" t="n">
        <v>8476</v>
      </c>
      <c r="S255" s="10">
        <f>IFERROR(R255/G255,0)</f>
        <v/>
      </c>
    </row>
    <row r="256">
      <c r="A256" s="7" t="n">
        <v>46149</v>
      </c>
      <c r="B256" s="5" t="inlineStr">
        <is>
          <t>Aurelia Jewellery</t>
        </is>
      </c>
      <c r="C256" s="5" t="inlineStr">
        <is>
          <t>Luxury / Jewellery</t>
        </is>
      </c>
      <c r="D256" s="5" t="inlineStr">
        <is>
          <t>B2C</t>
        </is>
      </c>
      <c r="E256" s="5" t="inlineStr">
        <is>
          <t>Google Ads</t>
        </is>
      </c>
      <c r="F256" s="5" t="inlineStr">
        <is>
          <t>aureliajewellery.example.com</t>
        </is>
      </c>
      <c r="G256" s="8" t="n">
        <v>3358</v>
      </c>
      <c r="H256" s="8" t="n">
        <v>879</v>
      </c>
      <c r="I256" s="8" t="n">
        <v>18</v>
      </c>
      <c r="J256" s="9">
        <f>I256/H256</f>
        <v/>
      </c>
      <c r="K256" s="8" t="n">
        <v>16</v>
      </c>
      <c r="L256" s="8" t="n">
        <v>0</v>
      </c>
      <c r="M256" s="5" t="inlineStr">
        <is>
          <t>N/A</t>
        </is>
      </c>
      <c r="N256" s="5" t="inlineStr">
        <is>
          <t>N/A</t>
        </is>
      </c>
      <c r="O256" s="8" t="inlineStr">
        <is>
          <t>N/A</t>
        </is>
      </c>
      <c r="P256" s="5" t="n">
        <v>0</v>
      </c>
      <c r="Q256" s="8">
        <f>IFERROR(G256/L256,0)</f>
        <v/>
      </c>
      <c r="R256" s="8" t="n">
        <v>9474</v>
      </c>
      <c r="S256" s="10">
        <f>IFERROR(R256/G256,0)</f>
        <v/>
      </c>
    </row>
    <row r="257">
      <c r="A257" s="7" t="n">
        <v>46150</v>
      </c>
      <c r="B257" s="5" t="inlineStr">
        <is>
          <t>Aurelia Jewellery</t>
        </is>
      </c>
      <c r="C257" s="5" t="inlineStr">
        <is>
          <t>Luxury / Jewellery</t>
        </is>
      </c>
      <c r="D257" s="5" t="inlineStr">
        <is>
          <t>B2C</t>
        </is>
      </c>
      <c r="E257" s="5" t="inlineStr">
        <is>
          <t>Google Ads</t>
        </is>
      </c>
      <c r="F257" s="5" t="inlineStr">
        <is>
          <t>aureliajewellery.example.com</t>
        </is>
      </c>
      <c r="G257" s="8" t="n">
        <v>2439</v>
      </c>
      <c r="H257" s="8" t="n">
        <v>741</v>
      </c>
      <c r="I257" s="8" t="n">
        <v>16</v>
      </c>
      <c r="J257" s="9">
        <f>I257/H257</f>
        <v/>
      </c>
      <c r="K257" s="8" t="n">
        <v>13</v>
      </c>
      <c r="L257" s="8" t="n">
        <v>0</v>
      </c>
      <c r="M257" s="5" t="inlineStr">
        <is>
          <t>N/A</t>
        </is>
      </c>
      <c r="N257" s="5" t="inlineStr">
        <is>
          <t>N/A</t>
        </is>
      </c>
      <c r="O257" s="8" t="inlineStr">
        <is>
          <t>N/A</t>
        </is>
      </c>
      <c r="P257" s="5" t="n">
        <v>0</v>
      </c>
      <c r="Q257" s="8">
        <f>IFERROR(G257/L257,0)</f>
        <v/>
      </c>
      <c r="R257" s="8" t="n">
        <v>7987</v>
      </c>
      <c r="S257" s="10">
        <f>IFERROR(R257/G257,0)</f>
        <v/>
      </c>
    </row>
    <row r="258">
      <c r="A258" s="7" t="n">
        <v>46151</v>
      </c>
      <c r="B258" s="5" t="inlineStr">
        <is>
          <t>Aurelia Jewellery</t>
        </is>
      </c>
      <c r="C258" s="5" t="inlineStr">
        <is>
          <t>Luxury / Jewellery</t>
        </is>
      </c>
      <c r="D258" s="5" t="inlineStr">
        <is>
          <t>B2C</t>
        </is>
      </c>
      <c r="E258" s="5" t="inlineStr">
        <is>
          <t>Google Ads</t>
        </is>
      </c>
      <c r="F258" s="5" t="inlineStr">
        <is>
          <t>aureliajewellery.example.com</t>
        </is>
      </c>
      <c r="G258" s="8" t="n">
        <v>2966</v>
      </c>
      <c r="H258" s="8" t="n">
        <v>883</v>
      </c>
      <c r="I258" s="8" t="n">
        <v>19</v>
      </c>
      <c r="J258" s="9">
        <f>I258/H258</f>
        <v/>
      </c>
      <c r="K258" s="8" t="n">
        <v>16</v>
      </c>
      <c r="L258" s="8" t="n">
        <v>0</v>
      </c>
      <c r="M258" s="5" t="inlineStr">
        <is>
          <t>N/A</t>
        </is>
      </c>
      <c r="N258" s="5" t="inlineStr">
        <is>
          <t>N/A</t>
        </is>
      </c>
      <c r="O258" s="8" t="inlineStr">
        <is>
          <t>N/A</t>
        </is>
      </c>
      <c r="P258" s="5" t="n">
        <v>0</v>
      </c>
      <c r="Q258" s="8">
        <f>IFERROR(G258/L258,0)</f>
        <v/>
      </c>
      <c r="R258" s="8" t="n">
        <v>9514</v>
      </c>
      <c r="S258" s="10">
        <f>IFERROR(R258/G258,0)</f>
        <v/>
      </c>
    </row>
    <row r="259">
      <c r="A259" s="7" t="n">
        <v>46152</v>
      </c>
      <c r="B259" s="5" t="inlineStr">
        <is>
          <t>Aurelia Jewellery</t>
        </is>
      </c>
      <c r="C259" s="5" t="inlineStr">
        <is>
          <t>Luxury / Jewellery</t>
        </is>
      </c>
      <c r="D259" s="5" t="inlineStr">
        <is>
          <t>B2C</t>
        </is>
      </c>
      <c r="E259" s="5" t="inlineStr">
        <is>
          <t>Google Ads</t>
        </is>
      </c>
      <c r="F259" s="5" t="inlineStr">
        <is>
          <t>aureliajewellery.example.com</t>
        </is>
      </c>
      <c r="G259" s="8" t="n">
        <v>3323</v>
      </c>
      <c r="H259" s="8" t="n">
        <v>994</v>
      </c>
      <c r="I259" s="8" t="n">
        <v>21</v>
      </c>
      <c r="J259" s="9">
        <f>I259/H259</f>
        <v/>
      </c>
      <c r="K259" s="8" t="n">
        <v>19</v>
      </c>
      <c r="L259" s="8" t="n">
        <v>0</v>
      </c>
      <c r="M259" s="5" t="inlineStr">
        <is>
          <t>N/A</t>
        </is>
      </c>
      <c r="N259" s="5" t="inlineStr">
        <is>
          <t>N/A</t>
        </is>
      </c>
      <c r="O259" s="8" t="inlineStr">
        <is>
          <t>N/A</t>
        </is>
      </c>
      <c r="P259" s="5" t="n">
        <v>0</v>
      </c>
      <c r="Q259" s="8">
        <f>IFERROR(G259/L259,0)</f>
        <v/>
      </c>
      <c r="R259" s="8" t="n">
        <v>10711</v>
      </c>
      <c r="S259" s="10">
        <f>IFERROR(R259/G259,0)</f>
        <v/>
      </c>
    </row>
    <row r="260">
      <c r="A260" s="7" t="n">
        <v>46153</v>
      </c>
      <c r="B260" s="5" t="inlineStr">
        <is>
          <t>Aurelia Jewellery</t>
        </is>
      </c>
      <c r="C260" s="5" t="inlineStr">
        <is>
          <t>Luxury / Jewellery</t>
        </is>
      </c>
      <c r="D260" s="5" t="inlineStr">
        <is>
          <t>B2C</t>
        </is>
      </c>
      <c r="E260" s="5" t="inlineStr">
        <is>
          <t>Google Ads</t>
        </is>
      </c>
      <c r="F260" s="5" t="inlineStr">
        <is>
          <t>aureliajewellery.example.com</t>
        </is>
      </c>
      <c r="G260" s="8" t="n">
        <v>3031</v>
      </c>
      <c r="H260" s="8" t="n">
        <v>1256</v>
      </c>
      <c r="I260" s="8" t="n">
        <v>26</v>
      </c>
      <c r="J260" s="9">
        <f>I260/H260</f>
        <v/>
      </c>
      <c r="K260" s="8" t="n">
        <v>24</v>
      </c>
      <c r="L260" s="8" t="n">
        <v>0</v>
      </c>
      <c r="M260" s="5" t="inlineStr">
        <is>
          <t>N/A</t>
        </is>
      </c>
      <c r="N260" s="5" t="inlineStr">
        <is>
          <t>N/A</t>
        </is>
      </c>
      <c r="O260" s="8" t="inlineStr">
        <is>
          <t>N/A</t>
        </is>
      </c>
      <c r="P260" s="5" t="n">
        <v>0</v>
      </c>
      <c r="Q260" s="8">
        <f>IFERROR(G260/L260,0)</f>
        <v/>
      </c>
      <c r="R260" s="8" t="n">
        <v>13532</v>
      </c>
      <c r="S260" s="10">
        <f>IFERROR(R260/G260,0)</f>
        <v/>
      </c>
    </row>
    <row r="261">
      <c r="A261" s="7" t="n">
        <v>46154</v>
      </c>
      <c r="B261" s="5" t="inlineStr">
        <is>
          <t>Aurelia Jewellery</t>
        </is>
      </c>
      <c r="C261" s="5" t="inlineStr">
        <is>
          <t>Luxury / Jewellery</t>
        </is>
      </c>
      <c r="D261" s="5" t="inlineStr">
        <is>
          <t>B2C</t>
        </is>
      </c>
      <c r="E261" s="5" t="inlineStr">
        <is>
          <t>Google Ads</t>
        </is>
      </c>
      <c r="F261" s="5" t="inlineStr">
        <is>
          <t>aureliajewellery.example.com</t>
        </is>
      </c>
      <c r="G261" s="8" t="n">
        <v>2782</v>
      </c>
      <c r="H261" s="8" t="n">
        <v>936</v>
      </c>
      <c r="I261" s="8" t="n">
        <v>20</v>
      </c>
      <c r="J261" s="9">
        <f>I261/H261</f>
        <v/>
      </c>
      <c r="K261" s="8" t="n">
        <v>19</v>
      </c>
      <c r="L261" s="8" t="n">
        <v>0</v>
      </c>
      <c r="M261" s="5" t="inlineStr">
        <is>
          <t>N/A</t>
        </is>
      </c>
      <c r="N261" s="5" t="inlineStr">
        <is>
          <t>N/A</t>
        </is>
      </c>
      <c r="O261" s="8" t="inlineStr">
        <is>
          <t>N/A</t>
        </is>
      </c>
      <c r="P261" s="5" t="n">
        <v>0</v>
      </c>
      <c r="Q261" s="8">
        <f>IFERROR(G261/L261,0)</f>
        <v/>
      </c>
      <c r="R261" s="8" t="n">
        <v>10082</v>
      </c>
      <c r="S261" s="10">
        <f>IFERROR(R261/G261,0)</f>
        <v/>
      </c>
    </row>
    <row r="262">
      <c r="A262" s="7" t="n">
        <v>46155</v>
      </c>
      <c r="B262" s="5" t="inlineStr">
        <is>
          <t>Aurelia Jewellery</t>
        </is>
      </c>
      <c r="C262" s="5" t="inlineStr">
        <is>
          <t>Luxury / Jewellery</t>
        </is>
      </c>
      <c r="D262" s="5" t="inlineStr">
        <is>
          <t>B2C</t>
        </is>
      </c>
      <c r="E262" s="5" t="inlineStr">
        <is>
          <t>Google Ads</t>
        </is>
      </c>
      <c r="F262" s="5" t="inlineStr">
        <is>
          <t>aureliajewellery.example.com</t>
        </is>
      </c>
      <c r="G262" s="8" t="n">
        <v>2863</v>
      </c>
      <c r="H262" s="8" t="n">
        <v>985</v>
      </c>
      <c r="I262" s="8" t="n">
        <v>21</v>
      </c>
      <c r="J262" s="9">
        <f>I262/H262</f>
        <v/>
      </c>
      <c r="K262" s="8" t="n">
        <v>19</v>
      </c>
      <c r="L262" s="8" t="n">
        <v>0</v>
      </c>
      <c r="M262" s="5" t="inlineStr">
        <is>
          <t>N/A</t>
        </is>
      </c>
      <c r="N262" s="5" t="inlineStr">
        <is>
          <t>N/A</t>
        </is>
      </c>
      <c r="O262" s="8" t="inlineStr">
        <is>
          <t>N/A</t>
        </is>
      </c>
      <c r="P262" s="5" t="n">
        <v>0</v>
      </c>
      <c r="Q262" s="8">
        <f>IFERROR(G262/L262,0)</f>
        <v/>
      </c>
      <c r="R262" s="8" t="n">
        <v>10609</v>
      </c>
      <c r="S262" s="10">
        <f>IFERROR(R262/G262,0)</f>
        <v/>
      </c>
    </row>
    <row r="263">
      <c r="A263" s="7" t="n">
        <v>46156</v>
      </c>
      <c r="B263" s="5" t="inlineStr">
        <is>
          <t>Aurelia Jewellery</t>
        </is>
      </c>
      <c r="C263" s="5" t="inlineStr">
        <is>
          <t>Luxury / Jewellery</t>
        </is>
      </c>
      <c r="D263" s="5" t="inlineStr">
        <is>
          <t>B2C</t>
        </is>
      </c>
      <c r="E263" s="5" t="inlineStr">
        <is>
          <t>Google Ads</t>
        </is>
      </c>
      <c r="F263" s="5" t="inlineStr">
        <is>
          <t>aureliajewellery.example.com</t>
        </is>
      </c>
      <c r="G263" s="8" t="n">
        <v>3323</v>
      </c>
      <c r="H263" s="8" t="n">
        <v>874</v>
      </c>
      <c r="I263" s="8" t="n">
        <v>18</v>
      </c>
      <c r="J263" s="9">
        <f>I263/H263</f>
        <v/>
      </c>
      <c r="K263" s="8" t="n">
        <v>17</v>
      </c>
      <c r="L263" s="8" t="n">
        <v>0</v>
      </c>
      <c r="M263" s="5" t="inlineStr">
        <is>
          <t>N/A</t>
        </is>
      </c>
      <c r="N263" s="5" t="inlineStr">
        <is>
          <t>N/A</t>
        </is>
      </c>
      <c r="O263" s="8" t="inlineStr">
        <is>
          <t>N/A</t>
        </is>
      </c>
      <c r="P263" s="5" t="n">
        <v>0</v>
      </c>
      <c r="Q263" s="8">
        <f>IFERROR(G263/L263,0)</f>
        <v/>
      </c>
      <c r="R263" s="8" t="n">
        <v>9412</v>
      </c>
      <c r="S263" s="10">
        <f>IFERROR(R263/G263,0)</f>
        <v/>
      </c>
    </row>
    <row r="264">
      <c r="A264" s="7" t="n">
        <v>46157</v>
      </c>
      <c r="B264" s="5" t="inlineStr">
        <is>
          <t>Aurelia Jewellery</t>
        </is>
      </c>
      <c r="C264" s="5" t="inlineStr">
        <is>
          <t>Luxury / Jewellery</t>
        </is>
      </c>
      <c r="D264" s="5" t="inlineStr">
        <is>
          <t>B2C</t>
        </is>
      </c>
      <c r="E264" s="5" t="inlineStr">
        <is>
          <t>Google Ads</t>
        </is>
      </c>
      <c r="F264" s="5" t="inlineStr">
        <is>
          <t>aureliajewellery.example.com</t>
        </is>
      </c>
      <c r="G264" s="8" t="n">
        <v>2683</v>
      </c>
      <c r="H264" s="8" t="n">
        <v>826</v>
      </c>
      <c r="I264" s="8" t="n">
        <v>17</v>
      </c>
      <c r="J264" s="9">
        <f>I264/H264</f>
        <v/>
      </c>
      <c r="K264" s="8" t="n">
        <v>16</v>
      </c>
      <c r="L264" s="8" t="n">
        <v>0</v>
      </c>
      <c r="M264" s="5" t="inlineStr">
        <is>
          <t>N/A</t>
        </is>
      </c>
      <c r="N264" s="5" t="inlineStr">
        <is>
          <t>N/A</t>
        </is>
      </c>
      <c r="O264" s="8" t="inlineStr">
        <is>
          <t>N/A</t>
        </is>
      </c>
      <c r="P264" s="5" t="n">
        <v>0</v>
      </c>
      <c r="Q264" s="8">
        <f>IFERROR(G264/L264,0)</f>
        <v/>
      </c>
      <c r="R264" s="8" t="n">
        <v>8901</v>
      </c>
      <c r="S264" s="10">
        <f>IFERROR(R264/G264,0)</f>
        <v/>
      </c>
    </row>
    <row r="265">
      <c r="A265" s="7" t="n">
        <v>46158</v>
      </c>
      <c r="B265" s="5" t="inlineStr">
        <is>
          <t>Aurelia Jewellery</t>
        </is>
      </c>
      <c r="C265" s="5" t="inlineStr">
        <is>
          <t>Luxury / Jewellery</t>
        </is>
      </c>
      <c r="D265" s="5" t="inlineStr">
        <is>
          <t>B2C</t>
        </is>
      </c>
      <c r="E265" s="5" t="inlineStr">
        <is>
          <t>Google Ads</t>
        </is>
      </c>
      <c r="F265" s="5" t="inlineStr">
        <is>
          <t>aureliajewellery.example.com</t>
        </is>
      </c>
      <c r="G265" s="8" t="n">
        <v>3345</v>
      </c>
      <c r="H265" s="8" t="n">
        <v>1147</v>
      </c>
      <c r="I265" s="8" t="n">
        <v>24</v>
      </c>
      <c r="J265" s="9">
        <f>I265/H265</f>
        <v/>
      </c>
      <c r="K265" s="8" t="n">
        <v>21</v>
      </c>
      <c r="L265" s="8" t="n">
        <v>0</v>
      </c>
      <c r="M265" s="5" t="inlineStr">
        <is>
          <t>N/A</t>
        </is>
      </c>
      <c r="N265" s="5" t="inlineStr">
        <is>
          <t>N/A</t>
        </is>
      </c>
      <c r="O265" s="8" t="inlineStr">
        <is>
          <t>N/A</t>
        </is>
      </c>
      <c r="P265" s="5" t="n">
        <v>0</v>
      </c>
      <c r="Q265" s="8">
        <f>IFERROR(G265/L265,0)</f>
        <v/>
      </c>
      <c r="R265" s="8" t="n">
        <v>12353</v>
      </c>
      <c r="S265" s="10">
        <f>IFERROR(R265/G265,0)</f>
        <v/>
      </c>
    </row>
    <row r="266">
      <c r="A266" s="7" t="n">
        <v>46159</v>
      </c>
      <c r="B266" s="5" t="inlineStr">
        <is>
          <t>Aurelia Jewellery</t>
        </is>
      </c>
      <c r="C266" s="5" t="inlineStr">
        <is>
          <t>Luxury / Jewellery</t>
        </is>
      </c>
      <c r="D266" s="5" t="inlineStr">
        <is>
          <t>B2C</t>
        </is>
      </c>
      <c r="E266" s="5" t="inlineStr">
        <is>
          <t>Google Ads</t>
        </is>
      </c>
      <c r="F266" s="5" t="inlineStr">
        <is>
          <t>aureliajewellery.example.com</t>
        </is>
      </c>
      <c r="G266" s="8" t="n">
        <v>3088</v>
      </c>
      <c r="H266" s="8" t="n">
        <v>905</v>
      </c>
      <c r="I266" s="8" t="n">
        <v>19</v>
      </c>
      <c r="J266" s="9">
        <f>I266/H266</f>
        <v/>
      </c>
      <c r="K266" s="8" t="n">
        <v>17</v>
      </c>
      <c r="L266" s="8" t="n">
        <v>0</v>
      </c>
      <c r="M266" s="5" t="inlineStr">
        <is>
          <t>N/A</t>
        </is>
      </c>
      <c r="N266" s="5" t="inlineStr">
        <is>
          <t>N/A</t>
        </is>
      </c>
      <c r="O266" s="8" t="inlineStr">
        <is>
          <t>N/A</t>
        </is>
      </c>
      <c r="P266" s="5" t="n">
        <v>0</v>
      </c>
      <c r="Q266" s="8">
        <f>IFERROR(G266/L266,0)</f>
        <v/>
      </c>
      <c r="R266" s="8" t="n">
        <v>9750</v>
      </c>
      <c r="S266" s="10">
        <f>IFERROR(R266/G266,0)</f>
        <v/>
      </c>
    </row>
    <row r="267">
      <c r="A267" s="7" t="n">
        <v>46160</v>
      </c>
      <c r="B267" s="5" t="inlineStr">
        <is>
          <t>Aurelia Jewellery</t>
        </is>
      </c>
      <c r="C267" s="5" t="inlineStr">
        <is>
          <t>Luxury / Jewellery</t>
        </is>
      </c>
      <c r="D267" s="5" t="inlineStr">
        <is>
          <t>B2C</t>
        </is>
      </c>
      <c r="E267" s="5" t="inlineStr">
        <is>
          <t>Google Ads</t>
        </is>
      </c>
      <c r="F267" s="5" t="inlineStr">
        <is>
          <t>aureliajewellery.example.com</t>
        </is>
      </c>
      <c r="G267" s="8" t="n">
        <v>2841</v>
      </c>
      <c r="H267" s="8" t="n">
        <v>1053</v>
      </c>
      <c r="I267" s="8" t="n">
        <v>22</v>
      </c>
      <c r="J267" s="9">
        <f>I267/H267</f>
        <v/>
      </c>
      <c r="K267" s="8" t="n">
        <v>20</v>
      </c>
      <c r="L267" s="8" t="n">
        <v>0</v>
      </c>
      <c r="M267" s="5" t="inlineStr">
        <is>
          <t>N/A</t>
        </is>
      </c>
      <c r="N267" s="5" t="inlineStr">
        <is>
          <t>N/A</t>
        </is>
      </c>
      <c r="O267" s="8" t="inlineStr">
        <is>
          <t>N/A</t>
        </is>
      </c>
      <c r="P267" s="5" t="n">
        <v>0</v>
      </c>
      <c r="Q267" s="8">
        <f>IFERROR(G267/L267,0)</f>
        <v/>
      </c>
      <c r="R267" s="8" t="n">
        <v>11343</v>
      </c>
      <c r="S267" s="10">
        <f>IFERROR(R267/G267,0)</f>
        <v/>
      </c>
    </row>
    <row r="268">
      <c r="A268" s="7" t="n">
        <v>46161</v>
      </c>
      <c r="B268" s="5" t="inlineStr">
        <is>
          <t>Aurelia Jewellery</t>
        </is>
      </c>
      <c r="C268" s="5" t="inlineStr">
        <is>
          <t>Luxury / Jewellery</t>
        </is>
      </c>
      <c r="D268" s="5" t="inlineStr">
        <is>
          <t>B2C</t>
        </is>
      </c>
      <c r="E268" s="5" t="inlineStr">
        <is>
          <t>Google Ads</t>
        </is>
      </c>
      <c r="F268" s="5" t="inlineStr">
        <is>
          <t>aureliajewellery.example.com</t>
        </is>
      </c>
      <c r="G268" s="8" t="n">
        <v>2973</v>
      </c>
      <c r="H268" s="8" t="n">
        <v>850</v>
      </c>
      <c r="I268" s="8" t="n">
        <v>18</v>
      </c>
      <c r="J268" s="9">
        <f>I268/H268</f>
        <v/>
      </c>
      <c r="K268" s="8" t="n">
        <v>16</v>
      </c>
      <c r="L268" s="8" t="n">
        <v>0</v>
      </c>
      <c r="M268" s="5" t="inlineStr">
        <is>
          <t>N/A</t>
        </is>
      </c>
      <c r="N268" s="5" t="inlineStr">
        <is>
          <t>N/A</t>
        </is>
      </c>
      <c r="O268" s="8" t="inlineStr">
        <is>
          <t>N/A</t>
        </is>
      </c>
      <c r="P268" s="5" t="n">
        <v>0</v>
      </c>
      <c r="Q268" s="8">
        <f>IFERROR(G268/L268,0)</f>
        <v/>
      </c>
      <c r="R268" s="8" t="n">
        <v>9160</v>
      </c>
      <c r="S268" s="10">
        <f>IFERROR(R268/G268,0)</f>
        <v/>
      </c>
    </row>
    <row r="269">
      <c r="A269" s="7" t="n">
        <v>46162</v>
      </c>
      <c r="B269" s="5" t="inlineStr">
        <is>
          <t>Aurelia Jewellery</t>
        </is>
      </c>
      <c r="C269" s="5" t="inlineStr">
        <is>
          <t>Luxury / Jewellery</t>
        </is>
      </c>
      <c r="D269" s="5" t="inlineStr">
        <is>
          <t>B2C</t>
        </is>
      </c>
      <c r="E269" s="5" t="inlineStr">
        <is>
          <t>Google Ads</t>
        </is>
      </c>
      <c r="F269" s="5" t="inlineStr">
        <is>
          <t>aureliajewellery.example.com</t>
        </is>
      </c>
      <c r="G269" s="8" t="n">
        <v>2879</v>
      </c>
      <c r="H269" s="8" t="n">
        <v>929</v>
      </c>
      <c r="I269" s="8" t="n">
        <v>20</v>
      </c>
      <c r="J269" s="9">
        <f>I269/H269</f>
        <v/>
      </c>
      <c r="K269" s="8" t="n">
        <v>17</v>
      </c>
      <c r="L269" s="8" t="n">
        <v>0</v>
      </c>
      <c r="M269" s="5" t="inlineStr">
        <is>
          <t>N/A</t>
        </is>
      </c>
      <c r="N269" s="5" t="inlineStr">
        <is>
          <t>N/A</t>
        </is>
      </c>
      <c r="O269" s="8" t="inlineStr">
        <is>
          <t>N/A</t>
        </is>
      </c>
      <c r="P269" s="5" t="n">
        <v>0</v>
      </c>
      <c r="Q269" s="8">
        <f>IFERROR(G269/L269,0)</f>
        <v/>
      </c>
      <c r="R269" s="8" t="n">
        <v>10009</v>
      </c>
      <c r="S269" s="10">
        <f>IFERROR(R269/G269,0)</f>
        <v/>
      </c>
    </row>
    <row r="270">
      <c r="A270" s="7" t="n">
        <v>46163</v>
      </c>
      <c r="B270" s="5" t="inlineStr">
        <is>
          <t>Aurelia Jewellery</t>
        </is>
      </c>
      <c r="C270" s="5" t="inlineStr">
        <is>
          <t>Luxury / Jewellery</t>
        </is>
      </c>
      <c r="D270" s="5" t="inlineStr">
        <is>
          <t>B2C</t>
        </is>
      </c>
      <c r="E270" s="5" t="inlineStr">
        <is>
          <t>Google Ads</t>
        </is>
      </c>
      <c r="F270" s="5" t="inlineStr">
        <is>
          <t>aureliajewellery.example.com</t>
        </is>
      </c>
      <c r="G270" s="8" t="n">
        <v>3288</v>
      </c>
      <c r="H270" s="8" t="n">
        <v>1021</v>
      </c>
      <c r="I270" s="8" t="n">
        <v>21</v>
      </c>
      <c r="J270" s="9">
        <f>I270/H270</f>
        <v/>
      </c>
      <c r="K270" s="8" t="n">
        <v>20</v>
      </c>
      <c r="L270" s="8" t="n">
        <v>0</v>
      </c>
      <c r="M270" s="5" t="inlineStr">
        <is>
          <t>N/A</t>
        </is>
      </c>
      <c r="N270" s="5" t="inlineStr">
        <is>
          <t>N/A</t>
        </is>
      </c>
      <c r="O270" s="8" t="inlineStr">
        <is>
          <t>N/A</t>
        </is>
      </c>
      <c r="P270" s="5" t="n">
        <v>0</v>
      </c>
      <c r="Q270" s="8">
        <f>IFERROR(G270/L270,0)</f>
        <v/>
      </c>
      <c r="R270" s="8" t="n">
        <v>11004</v>
      </c>
      <c r="S270" s="10">
        <f>IFERROR(R270/G270,0)</f>
        <v/>
      </c>
    </row>
    <row r="271">
      <c r="A271" s="7" t="n">
        <v>46164</v>
      </c>
      <c r="B271" s="5" t="inlineStr">
        <is>
          <t>Aurelia Jewellery</t>
        </is>
      </c>
      <c r="C271" s="5" t="inlineStr">
        <is>
          <t>Luxury / Jewellery</t>
        </is>
      </c>
      <c r="D271" s="5" t="inlineStr">
        <is>
          <t>B2C</t>
        </is>
      </c>
      <c r="E271" s="5" t="inlineStr">
        <is>
          <t>Google Ads</t>
        </is>
      </c>
      <c r="F271" s="5" t="inlineStr">
        <is>
          <t>aureliajewellery.example.com</t>
        </is>
      </c>
      <c r="G271" s="8" t="n">
        <v>3259</v>
      </c>
      <c r="H271" s="8" t="n">
        <v>1111</v>
      </c>
      <c r="I271" s="8" t="n">
        <v>23</v>
      </c>
      <c r="J271" s="9">
        <f>I271/H271</f>
        <v/>
      </c>
      <c r="K271" s="8" t="n">
        <v>23</v>
      </c>
      <c r="L271" s="8" t="n">
        <v>0</v>
      </c>
      <c r="M271" s="5" t="inlineStr">
        <is>
          <t>N/A</t>
        </is>
      </c>
      <c r="N271" s="5" t="inlineStr">
        <is>
          <t>N/A</t>
        </is>
      </c>
      <c r="O271" s="8" t="inlineStr">
        <is>
          <t>N/A</t>
        </is>
      </c>
      <c r="P271" s="5" t="n">
        <v>0</v>
      </c>
      <c r="Q271" s="8">
        <f>IFERROR(G271/L271,0)</f>
        <v/>
      </c>
      <c r="R271" s="8" t="n">
        <v>11964</v>
      </c>
      <c r="S271" s="10">
        <f>IFERROR(R271/G271,0)</f>
        <v/>
      </c>
    </row>
    <row r="272">
      <c r="A272" s="7" t="n">
        <v>46165</v>
      </c>
      <c r="B272" s="5" t="inlineStr">
        <is>
          <t>Aurelia Jewellery</t>
        </is>
      </c>
      <c r="C272" s="5" t="inlineStr">
        <is>
          <t>Luxury / Jewellery</t>
        </is>
      </c>
      <c r="D272" s="5" t="inlineStr">
        <is>
          <t>B2C</t>
        </is>
      </c>
      <c r="E272" s="5" t="inlineStr">
        <is>
          <t>Google Ads</t>
        </is>
      </c>
      <c r="F272" s="5" t="inlineStr">
        <is>
          <t>aureliajewellery.example.com</t>
        </is>
      </c>
      <c r="G272" s="8" t="n">
        <v>2727</v>
      </c>
      <c r="H272" s="8" t="n">
        <v>841</v>
      </c>
      <c r="I272" s="8" t="n">
        <v>18</v>
      </c>
      <c r="J272" s="9">
        <f>I272/H272</f>
        <v/>
      </c>
      <c r="K272" s="8" t="n">
        <v>15</v>
      </c>
      <c r="L272" s="8" t="n">
        <v>0</v>
      </c>
      <c r="M272" s="5" t="inlineStr">
        <is>
          <t>N/A</t>
        </is>
      </c>
      <c r="N272" s="5" t="inlineStr">
        <is>
          <t>N/A</t>
        </is>
      </c>
      <c r="O272" s="8" t="inlineStr">
        <is>
          <t>N/A</t>
        </is>
      </c>
      <c r="P272" s="5" t="n">
        <v>0</v>
      </c>
      <c r="Q272" s="8">
        <f>IFERROR(G272/L272,0)</f>
        <v/>
      </c>
      <c r="R272" s="8" t="n">
        <v>9062</v>
      </c>
      <c r="S272" s="10">
        <f>IFERROR(R272/G272,0)</f>
        <v/>
      </c>
    </row>
    <row r="273">
      <c r="A273" s="7" t="n">
        <v>46166</v>
      </c>
      <c r="B273" s="5" t="inlineStr">
        <is>
          <t>Aurelia Jewellery</t>
        </is>
      </c>
      <c r="C273" s="5" t="inlineStr">
        <is>
          <t>Luxury / Jewellery</t>
        </is>
      </c>
      <c r="D273" s="5" t="inlineStr">
        <is>
          <t>B2C</t>
        </is>
      </c>
      <c r="E273" s="5" t="inlineStr">
        <is>
          <t>Google Ads</t>
        </is>
      </c>
      <c r="F273" s="5" t="inlineStr">
        <is>
          <t>aureliajewellery.example.com</t>
        </is>
      </c>
      <c r="G273" s="8" t="n">
        <v>3012</v>
      </c>
      <c r="H273" s="8" t="n">
        <v>974</v>
      </c>
      <c r="I273" s="8" t="n">
        <v>20</v>
      </c>
      <c r="J273" s="9">
        <f>I273/H273</f>
        <v/>
      </c>
      <c r="K273" s="8" t="n">
        <v>19</v>
      </c>
      <c r="L273" s="8" t="n">
        <v>0</v>
      </c>
      <c r="M273" s="5" t="inlineStr">
        <is>
          <t>N/A</t>
        </is>
      </c>
      <c r="N273" s="5" t="inlineStr">
        <is>
          <t>N/A</t>
        </is>
      </c>
      <c r="O273" s="8" t="inlineStr">
        <is>
          <t>N/A</t>
        </is>
      </c>
      <c r="P273" s="5" t="n">
        <v>0</v>
      </c>
      <c r="Q273" s="8">
        <f>IFERROR(G273/L273,0)</f>
        <v/>
      </c>
      <c r="R273" s="8" t="n">
        <v>10492</v>
      </c>
      <c r="S273" s="10">
        <f>IFERROR(R273/G273,0)</f>
        <v/>
      </c>
    </row>
    <row r="274">
      <c r="A274" s="7" t="n">
        <v>46167</v>
      </c>
      <c r="B274" s="5" t="inlineStr">
        <is>
          <t>Aurelia Jewellery</t>
        </is>
      </c>
      <c r="C274" s="5" t="inlineStr">
        <is>
          <t>Luxury / Jewellery</t>
        </is>
      </c>
      <c r="D274" s="5" t="inlineStr">
        <is>
          <t>B2C</t>
        </is>
      </c>
      <c r="E274" s="5" t="inlineStr">
        <is>
          <t>Google Ads</t>
        </is>
      </c>
      <c r="F274" s="5" t="inlineStr">
        <is>
          <t>aureliajewellery.example.com</t>
        </is>
      </c>
      <c r="G274" s="8" t="n">
        <v>2913</v>
      </c>
      <c r="H274" s="8" t="n">
        <v>946</v>
      </c>
      <c r="I274" s="8" t="n">
        <v>20</v>
      </c>
      <c r="J274" s="9">
        <f>I274/H274</f>
        <v/>
      </c>
      <c r="K274" s="8" t="n">
        <v>19</v>
      </c>
      <c r="L274" s="8" t="n">
        <v>0</v>
      </c>
      <c r="M274" s="5" t="inlineStr">
        <is>
          <t>N/A</t>
        </is>
      </c>
      <c r="N274" s="5" t="inlineStr">
        <is>
          <t>N/A</t>
        </is>
      </c>
      <c r="O274" s="8" t="inlineStr">
        <is>
          <t>N/A</t>
        </is>
      </c>
      <c r="P274" s="5" t="n">
        <v>0</v>
      </c>
      <c r="Q274" s="8">
        <f>IFERROR(G274/L274,0)</f>
        <v/>
      </c>
      <c r="R274" s="8" t="n">
        <v>10189</v>
      </c>
      <c r="S274" s="10">
        <f>IFERROR(R274/G274,0)</f>
        <v/>
      </c>
    </row>
    <row r="275">
      <c r="A275" s="7" t="n">
        <v>46168</v>
      </c>
      <c r="B275" s="5" t="inlineStr">
        <is>
          <t>Aurelia Jewellery</t>
        </is>
      </c>
      <c r="C275" s="5" t="inlineStr">
        <is>
          <t>Luxury / Jewellery</t>
        </is>
      </c>
      <c r="D275" s="5" t="inlineStr">
        <is>
          <t>B2C</t>
        </is>
      </c>
      <c r="E275" s="5" t="inlineStr">
        <is>
          <t>Google Ads</t>
        </is>
      </c>
      <c r="F275" s="5" t="inlineStr">
        <is>
          <t>aureliajewellery.example.com</t>
        </is>
      </c>
      <c r="G275" s="8" t="n">
        <v>3381</v>
      </c>
      <c r="H275" s="8" t="n">
        <v>1030</v>
      </c>
      <c r="I275" s="8" t="n">
        <v>22</v>
      </c>
      <c r="J275" s="9">
        <f>I275/H275</f>
        <v/>
      </c>
      <c r="K275" s="8" t="n">
        <v>19</v>
      </c>
      <c r="L275" s="8" t="n">
        <v>0</v>
      </c>
      <c r="M275" s="5" t="inlineStr">
        <is>
          <t>N/A</t>
        </is>
      </c>
      <c r="N275" s="5" t="inlineStr">
        <is>
          <t>N/A</t>
        </is>
      </c>
      <c r="O275" s="8" t="inlineStr">
        <is>
          <t>N/A</t>
        </is>
      </c>
      <c r="P275" s="5" t="n">
        <v>0</v>
      </c>
      <c r="Q275" s="8">
        <f>IFERROR(G275/L275,0)</f>
        <v/>
      </c>
      <c r="R275" s="8" t="n">
        <v>11098</v>
      </c>
      <c r="S275" s="10">
        <f>IFERROR(R275/G275,0)</f>
        <v/>
      </c>
    </row>
    <row r="276">
      <c r="A276" s="7" t="n">
        <v>46169</v>
      </c>
      <c r="B276" s="5" t="inlineStr">
        <is>
          <t>Aurelia Jewellery</t>
        </is>
      </c>
      <c r="C276" s="5" t="inlineStr">
        <is>
          <t>Luxury / Jewellery</t>
        </is>
      </c>
      <c r="D276" s="5" t="inlineStr">
        <is>
          <t>B2C</t>
        </is>
      </c>
      <c r="E276" s="5" t="inlineStr">
        <is>
          <t>Google Ads</t>
        </is>
      </c>
      <c r="F276" s="5" t="inlineStr">
        <is>
          <t>aureliajewellery.example.com</t>
        </is>
      </c>
      <c r="G276" s="8" t="n">
        <v>2807</v>
      </c>
      <c r="H276" s="8" t="n">
        <v>993</v>
      </c>
      <c r="I276" s="8" t="n">
        <v>21</v>
      </c>
      <c r="J276" s="9">
        <f>I276/H276</f>
        <v/>
      </c>
      <c r="K276" s="8" t="n">
        <v>20</v>
      </c>
      <c r="L276" s="8" t="n">
        <v>0</v>
      </c>
      <c r="M276" s="5" t="inlineStr">
        <is>
          <t>N/A</t>
        </is>
      </c>
      <c r="N276" s="5" t="inlineStr">
        <is>
          <t>N/A</t>
        </is>
      </c>
      <c r="O276" s="8" t="inlineStr">
        <is>
          <t>N/A</t>
        </is>
      </c>
      <c r="P276" s="5" t="n">
        <v>0</v>
      </c>
      <c r="Q276" s="8">
        <f>IFERROR(G276/L276,0)</f>
        <v/>
      </c>
      <c r="R276" s="8" t="n">
        <v>10694</v>
      </c>
      <c r="S276" s="10">
        <f>IFERROR(R276/G276,0)</f>
        <v/>
      </c>
    </row>
    <row r="277">
      <c r="A277" s="7" t="n">
        <v>46170</v>
      </c>
      <c r="B277" s="5" t="inlineStr">
        <is>
          <t>Aurelia Jewellery</t>
        </is>
      </c>
      <c r="C277" s="5" t="inlineStr">
        <is>
          <t>Luxury / Jewellery</t>
        </is>
      </c>
      <c r="D277" s="5" t="inlineStr">
        <is>
          <t>B2C</t>
        </is>
      </c>
      <c r="E277" s="5" t="inlineStr">
        <is>
          <t>Google Ads</t>
        </is>
      </c>
      <c r="F277" s="5" t="inlineStr">
        <is>
          <t>aureliajewellery.example.com</t>
        </is>
      </c>
      <c r="G277" s="8" t="n">
        <v>3448</v>
      </c>
      <c r="H277" s="8" t="n">
        <v>1185</v>
      </c>
      <c r="I277" s="8" t="n">
        <v>25</v>
      </c>
      <c r="J277" s="9">
        <f>I277/H277</f>
        <v/>
      </c>
      <c r="K277" s="8" t="n">
        <v>23</v>
      </c>
      <c r="L277" s="8" t="n">
        <v>0</v>
      </c>
      <c r="M277" s="5" t="inlineStr">
        <is>
          <t>N/A</t>
        </is>
      </c>
      <c r="N277" s="5" t="inlineStr">
        <is>
          <t>N/A</t>
        </is>
      </c>
      <c r="O277" s="8" t="inlineStr">
        <is>
          <t>N/A</t>
        </is>
      </c>
      <c r="P277" s="5" t="n">
        <v>0</v>
      </c>
      <c r="Q277" s="8">
        <f>IFERROR(G277/L277,0)</f>
        <v/>
      </c>
      <c r="R277" s="8" t="n">
        <v>12768</v>
      </c>
      <c r="S277" s="10">
        <f>IFERROR(R277/G277,0)</f>
        <v/>
      </c>
    </row>
    <row r="278">
      <c r="A278" s="7" t="n">
        <v>46171</v>
      </c>
      <c r="B278" s="5" t="inlineStr">
        <is>
          <t>Aurelia Jewellery</t>
        </is>
      </c>
      <c r="C278" s="5" t="inlineStr">
        <is>
          <t>Luxury / Jewellery</t>
        </is>
      </c>
      <c r="D278" s="5" t="inlineStr">
        <is>
          <t>B2C</t>
        </is>
      </c>
      <c r="E278" s="5" t="inlineStr">
        <is>
          <t>Google Ads</t>
        </is>
      </c>
      <c r="F278" s="5" t="inlineStr">
        <is>
          <t>aureliajewellery.example.com</t>
        </is>
      </c>
      <c r="G278" s="8" t="n">
        <v>3093</v>
      </c>
      <c r="H278" s="8" t="n">
        <v>1023</v>
      </c>
      <c r="I278" s="8" t="n">
        <v>21</v>
      </c>
      <c r="J278" s="9">
        <f>I278/H278</f>
        <v/>
      </c>
      <c r="K278" s="8" t="n">
        <v>21</v>
      </c>
      <c r="L278" s="8" t="n">
        <v>0</v>
      </c>
      <c r="M278" s="5" t="inlineStr">
        <is>
          <t>N/A</t>
        </is>
      </c>
      <c r="N278" s="5" t="inlineStr">
        <is>
          <t>N/A</t>
        </is>
      </c>
      <c r="O278" s="8" t="inlineStr">
        <is>
          <t>N/A</t>
        </is>
      </c>
      <c r="P278" s="5" t="n">
        <v>0</v>
      </c>
      <c r="Q278" s="8">
        <f>IFERROR(G278/L278,0)</f>
        <v/>
      </c>
      <c r="R278" s="8" t="n">
        <v>11016</v>
      </c>
      <c r="S278" s="10">
        <f>IFERROR(R278/G278,0)</f>
        <v/>
      </c>
    </row>
    <row r="279">
      <c r="A279" s="7" t="n">
        <v>46172</v>
      </c>
      <c r="B279" s="5" t="inlineStr">
        <is>
          <t>Aurelia Jewellery</t>
        </is>
      </c>
      <c r="C279" s="5" t="inlineStr">
        <is>
          <t>Luxury / Jewellery</t>
        </is>
      </c>
      <c r="D279" s="5" t="inlineStr">
        <is>
          <t>B2C</t>
        </is>
      </c>
      <c r="E279" s="5" t="inlineStr">
        <is>
          <t>Google Ads</t>
        </is>
      </c>
      <c r="F279" s="5" t="inlineStr">
        <is>
          <t>aureliajewellery.example.com</t>
        </is>
      </c>
      <c r="G279" s="8" t="n">
        <v>2848</v>
      </c>
      <c r="H279" s="8" t="n">
        <v>903</v>
      </c>
      <c r="I279" s="8" t="n">
        <v>19</v>
      </c>
      <c r="J279" s="9">
        <f>I279/H279</f>
        <v/>
      </c>
      <c r="K279" s="8" t="n">
        <v>19</v>
      </c>
      <c r="L279" s="8" t="n">
        <v>0</v>
      </c>
      <c r="M279" s="5" t="inlineStr">
        <is>
          <t>N/A</t>
        </is>
      </c>
      <c r="N279" s="5" t="inlineStr">
        <is>
          <t>N/A</t>
        </is>
      </c>
      <c r="O279" s="8" t="inlineStr">
        <is>
          <t>N/A</t>
        </is>
      </c>
      <c r="P279" s="5" t="n">
        <v>0</v>
      </c>
      <c r="Q279" s="8">
        <f>IFERROR(G279/L279,0)</f>
        <v/>
      </c>
      <c r="R279" s="8" t="n">
        <v>9723</v>
      </c>
      <c r="S279" s="10">
        <f>IFERROR(R279/G279,0)</f>
        <v/>
      </c>
    </row>
    <row r="280">
      <c r="A280" s="7" t="n">
        <v>46173</v>
      </c>
      <c r="B280" s="5" t="inlineStr">
        <is>
          <t>Aurelia Jewellery</t>
        </is>
      </c>
      <c r="C280" s="5" t="inlineStr">
        <is>
          <t>Luxury / Jewellery</t>
        </is>
      </c>
      <c r="D280" s="5" t="inlineStr">
        <is>
          <t>B2C</t>
        </is>
      </c>
      <c r="E280" s="5" t="inlineStr">
        <is>
          <t>Google Ads</t>
        </is>
      </c>
      <c r="F280" s="5" t="inlineStr">
        <is>
          <t>aureliajewellery.example.com</t>
        </is>
      </c>
      <c r="G280" s="8" t="n">
        <v>2953</v>
      </c>
      <c r="H280" s="8" t="n">
        <v>1081</v>
      </c>
      <c r="I280" s="8" t="n">
        <v>23</v>
      </c>
      <c r="J280" s="9">
        <f>I280/H280</f>
        <v/>
      </c>
      <c r="K280" s="8" t="n">
        <v>19</v>
      </c>
      <c r="L280" s="8" t="n">
        <v>0</v>
      </c>
      <c r="M280" s="5" t="inlineStr">
        <is>
          <t>N/A</t>
        </is>
      </c>
      <c r="N280" s="5" t="inlineStr">
        <is>
          <t>N/A</t>
        </is>
      </c>
      <c r="O280" s="8" t="inlineStr">
        <is>
          <t>N/A</t>
        </is>
      </c>
      <c r="P280" s="5" t="n">
        <v>0</v>
      </c>
      <c r="Q280" s="8">
        <f>IFERROR(G280/L280,0)</f>
        <v/>
      </c>
      <c r="R280" s="8" t="n">
        <v>11647</v>
      </c>
      <c r="S280" s="10">
        <f>IFERROR(R280/G280,0)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12" customWidth="1" min="5" max="5"/>
    <col width="10" customWidth="1" min="6" max="6"/>
    <col width="10" customWidth="1" min="7" max="7"/>
    <col width="16" customWidth="1" min="8" max="8"/>
    <col width="44" customWidth="1" min="9" max="9"/>
  </cols>
  <sheetData>
    <row r="1">
      <c r="A1" s="4" t="inlineStr">
        <is>
          <t>Product</t>
        </is>
      </c>
      <c r="B1" s="4" t="inlineStr">
        <is>
          <t>Channel</t>
        </is>
      </c>
      <c r="C1" s="4" t="inlineStr">
        <is>
          <t>Creative Type</t>
        </is>
      </c>
      <c r="D1" s="4" t="inlineStr">
        <is>
          <t>Mix % of Spend</t>
        </is>
      </c>
      <c r="E1" s="4" t="inlineStr">
        <is>
          <t>Impressions</t>
        </is>
      </c>
      <c r="F1" s="4" t="inlineStr">
        <is>
          <t>Clicks</t>
        </is>
      </c>
      <c r="G1" s="4" t="inlineStr">
        <is>
          <t>CTR</t>
        </is>
      </c>
      <c r="H1" s="4" t="inlineStr">
        <is>
          <t>Conversions/Leads</t>
        </is>
      </c>
      <c r="I1" s="4" t="inlineStr">
        <is>
          <t>Notes</t>
        </is>
      </c>
    </row>
    <row r="2">
      <c r="A2" s="5" t="inlineStr">
        <is>
          <t>Vantage CRM</t>
        </is>
      </c>
      <c r="B2" s="5" t="inlineStr">
        <is>
          <t>LinkedIn</t>
        </is>
      </c>
      <c r="C2" s="5" t="inlineStr">
        <is>
          <t>Text</t>
        </is>
      </c>
      <c r="D2" s="11" t="n">
        <v>0.45</v>
      </c>
      <c r="E2" s="8">
        <f>SUMIFS('Daily Performance - Current'!$H:$H,'Daily Performance - Current'!$B:$B,A2,'Daily Performance - Current'!$E:$E,B2)*D2</f>
        <v/>
      </c>
      <c r="F2" s="8">
        <f>SUMIFS('Daily Performance - Current'!$I:$I,'Daily Performance - Current'!$B:$B,A2,'Daily Performance - Current'!$E:$E,B2)*D2</f>
        <v/>
      </c>
      <c r="G2" s="9">
        <f>IFERROR(F2/E2,0)</f>
        <v/>
      </c>
      <c r="H2" s="8">
        <f>SUMIFS('Daily Performance - Current'!$L:$L,'Daily Performance - Current'!$B:$B,A2,'Daily Performance - Current'!$E:$E,B2)*D2</f>
        <v/>
      </c>
      <c r="I2" s="5" t="inlineStr"/>
    </row>
    <row r="3">
      <c r="A3" s="5" t="inlineStr">
        <is>
          <t>Vantage CRM</t>
        </is>
      </c>
      <c r="B3" s="5" t="inlineStr">
        <is>
          <t>LinkedIn</t>
        </is>
      </c>
      <c r="C3" s="5" t="inlineStr">
        <is>
          <t>Image</t>
        </is>
      </c>
      <c r="D3" s="11" t="n">
        <v>0.35</v>
      </c>
      <c r="E3" s="8">
        <f>SUMIFS('Daily Performance - Current'!$H:$H,'Daily Performance - Current'!$B:$B,A3,'Daily Performance - Current'!$E:$E,B3)*D3</f>
        <v/>
      </c>
      <c r="F3" s="8">
        <f>SUMIFS('Daily Performance - Current'!$I:$I,'Daily Performance - Current'!$B:$B,A3,'Daily Performance - Current'!$E:$E,B3)*D3</f>
        <v/>
      </c>
      <c r="G3" s="9">
        <f>IFERROR(F3/E3,0)</f>
        <v/>
      </c>
      <c r="H3" s="8">
        <f>SUMIFS('Daily Performance - Current'!$L:$L,'Daily Performance - Current'!$B:$B,A3,'Daily Performance - Current'!$E:$E,B3)*D3</f>
        <v/>
      </c>
      <c r="I3" s="5" t="inlineStr"/>
    </row>
    <row r="4">
      <c r="A4" s="5" t="inlineStr">
        <is>
          <t>Vantage CRM</t>
        </is>
      </c>
      <c r="B4" s="5" t="inlineStr">
        <is>
          <t>LinkedIn</t>
        </is>
      </c>
      <c r="C4" s="5" t="inlineStr">
        <is>
          <t>Video</t>
        </is>
      </c>
      <c r="D4" s="11" t="n">
        <v>0.2</v>
      </c>
      <c r="E4" s="8">
        <f>SUMIFS('Daily Performance - Current'!$H:$H,'Daily Performance - Current'!$B:$B,A4,'Daily Performance - Current'!$E:$E,B4)*D4</f>
        <v/>
      </c>
      <c r="F4" s="8">
        <f>SUMIFS('Daily Performance - Current'!$I:$I,'Daily Performance - Current'!$B:$B,A4,'Daily Performance - Current'!$E:$E,B4)*D4</f>
        <v/>
      </c>
      <c r="G4" s="9">
        <f>IFERROR(F4/E4,0)</f>
        <v/>
      </c>
      <c r="H4" s="8">
        <f>SUMIFS('Daily Performance - Current'!$L:$L,'Daily Performance - Current'!$B:$B,A4,'Daily Performance - Current'!$E:$E,B4)*D4</f>
        <v/>
      </c>
      <c r="I4" s="5" t="inlineStr"/>
    </row>
    <row r="5">
      <c r="A5" s="5" t="inlineStr">
        <is>
          <t>Lumiere Skincare</t>
        </is>
      </c>
      <c r="B5" s="5" t="inlineStr">
        <is>
          <t>Instagram</t>
        </is>
      </c>
      <c r="C5" s="5" t="inlineStr">
        <is>
          <t>Text</t>
        </is>
      </c>
      <c r="D5" s="11" t="n">
        <v>0.2</v>
      </c>
      <c r="E5" s="8">
        <f>SUMIFS('Daily Performance - Current'!$H:$H,'Daily Performance - Current'!$B:$B,A5,'Daily Performance - Current'!$E:$E,B5)*D5</f>
        <v/>
      </c>
      <c r="F5" s="8">
        <f>SUMIFS('Daily Performance - Current'!$I:$I,'Daily Performance - Current'!$B:$B,A5,'Daily Performance - Current'!$E:$E,B5)*D5</f>
        <v/>
      </c>
      <c r="G5" s="9">
        <f>IFERROR(F5/E5,0)</f>
        <v/>
      </c>
      <c r="H5" s="8">
        <f>SUMIFS('Daily Performance - Current'!$L:$L,'Daily Performance - Current'!$B:$B,A5,'Daily Performance - Current'!$E:$E,B5)*D5</f>
        <v/>
      </c>
      <c r="I5" s="5" t="inlineStr"/>
    </row>
    <row r="6">
      <c r="A6" s="5" t="inlineStr">
        <is>
          <t>Lumiere Skincare</t>
        </is>
      </c>
      <c r="B6" s="5" t="inlineStr">
        <is>
          <t>Instagram</t>
        </is>
      </c>
      <c r="C6" s="5" t="inlineStr">
        <is>
          <t>Image</t>
        </is>
      </c>
      <c r="D6" s="11" t="n">
        <v>0.4</v>
      </c>
      <c r="E6" s="8">
        <f>SUMIFS('Daily Performance - Current'!$H:$H,'Daily Performance - Current'!$B:$B,A6,'Daily Performance - Current'!$E:$E,B6)*D6</f>
        <v/>
      </c>
      <c r="F6" s="8">
        <f>SUMIFS('Daily Performance - Current'!$I:$I,'Daily Performance - Current'!$B:$B,A6,'Daily Performance - Current'!$E:$E,B6)*D6</f>
        <v/>
      </c>
      <c r="G6" s="9">
        <f>IFERROR(F6/E6,0)</f>
        <v/>
      </c>
      <c r="H6" s="8">
        <f>SUMIFS('Daily Performance - Current'!$L:$L,'Daily Performance - Current'!$B:$B,A6,'Daily Performance - Current'!$E:$E,B6)*D6</f>
        <v/>
      </c>
      <c r="I6" s="5" t="inlineStr"/>
    </row>
    <row r="7">
      <c r="A7" s="5" t="inlineStr">
        <is>
          <t>Lumiere Skincare</t>
        </is>
      </c>
      <c r="B7" s="5" t="inlineStr">
        <is>
          <t>Instagram</t>
        </is>
      </c>
      <c r="C7" s="5" t="inlineStr">
        <is>
          <t>Video</t>
        </is>
      </c>
      <c r="D7" s="11" t="n">
        <v>0.4</v>
      </c>
      <c r="E7" s="8">
        <f>SUMIFS('Daily Performance - Current'!$H:$H,'Daily Performance - Current'!$B:$B,A7,'Daily Performance - Current'!$E:$E,B7)*D7</f>
        <v/>
      </c>
      <c r="F7" s="8">
        <f>SUMIFS('Daily Performance - Current'!$I:$I,'Daily Performance - Current'!$B:$B,A7,'Daily Performance - Current'!$E:$E,B7)*D7</f>
        <v/>
      </c>
      <c r="G7" s="9">
        <f>IFERROR(F7/E7,0)</f>
        <v/>
      </c>
      <c r="H7" s="8">
        <f>SUMIFS('Daily Performance - Current'!$L:$L,'Daily Performance - Current'!$B:$B,A7,'Daily Performance - Current'!$E:$E,B7)*D7</f>
        <v/>
      </c>
      <c r="I7" s="5" t="inlineStr"/>
    </row>
    <row r="8">
      <c r="A8" s="5" t="inlineStr">
        <is>
          <t>Lumiere Skincare</t>
        </is>
      </c>
      <c r="B8" s="5" t="inlineStr">
        <is>
          <t>Facebook</t>
        </is>
      </c>
      <c r="C8" s="5" t="inlineStr">
        <is>
          <t>Text</t>
        </is>
      </c>
      <c r="D8" s="11" t="n">
        <v>0.2</v>
      </c>
      <c r="E8" s="8">
        <f>SUMIFS('Daily Performance - Current'!$H:$H,'Daily Performance - Current'!$B:$B,A8,'Daily Performance - Current'!$E:$E,B8)*D8</f>
        <v/>
      </c>
      <c r="F8" s="8">
        <f>SUMIFS('Daily Performance - Current'!$I:$I,'Daily Performance - Current'!$B:$B,A8,'Daily Performance - Current'!$E:$E,B8)*D8</f>
        <v/>
      </c>
      <c r="G8" s="9">
        <f>IFERROR(F8/E8,0)</f>
        <v/>
      </c>
      <c r="H8" s="8">
        <f>SUMIFS('Daily Performance - Current'!$L:$L,'Daily Performance - Current'!$B:$B,A8,'Daily Performance - Current'!$E:$E,B8)*D8</f>
        <v/>
      </c>
      <c r="I8" s="5" t="inlineStr"/>
    </row>
    <row r="9">
      <c r="A9" s="5" t="inlineStr">
        <is>
          <t>Lumiere Skincare</t>
        </is>
      </c>
      <c r="B9" s="5" t="inlineStr">
        <is>
          <t>Facebook</t>
        </is>
      </c>
      <c r="C9" s="5" t="inlineStr">
        <is>
          <t>Image</t>
        </is>
      </c>
      <c r="D9" s="11" t="n">
        <v>0.4</v>
      </c>
      <c r="E9" s="8">
        <f>SUMIFS('Daily Performance - Current'!$H:$H,'Daily Performance - Current'!$B:$B,A9,'Daily Performance - Current'!$E:$E,B9)*D9</f>
        <v/>
      </c>
      <c r="F9" s="8">
        <f>SUMIFS('Daily Performance - Current'!$I:$I,'Daily Performance - Current'!$B:$B,A9,'Daily Performance - Current'!$E:$E,B9)*D9</f>
        <v/>
      </c>
      <c r="G9" s="9">
        <f>IFERROR(F9/E9,0)</f>
        <v/>
      </c>
      <c r="H9" s="8">
        <f>SUMIFS('Daily Performance - Current'!$L:$L,'Daily Performance - Current'!$B:$B,A9,'Daily Performance - Current'!$E:$E,B9)*D9</f>
        <v/>
      </c>
      <c r="I9" s="5" t="inlineStr"/>
    </row>
    <row r="10">
      <c r="A10" s="5" t="inlineStr">
        <is>
          <t>Lumiere Skincare</t>
        </is>
      </c>
      <c r="B10" s="5" t="inlineStr">
        <is>
          <t>Facebook</t>
        </is>
      </c>
      <c r="C10" s="5" t="inlineStr">
        <is>
          <t>Video</t>
        </is>
      </c>
      <c r="D10" s="11" t="n">
        <v>0.4</v>
      </c>
      <c r="E10" s="8">
        <f>SUMIFS('Daily Performance - Current'!$H:$H,'Daily Performance - Current'!$B:$B,A10,'Daily Performance - Current'!$E:$E,B10)*D10</f>
        <v/>
      </c>
      <c r="F10" s="8">
        <f>SUMIFS('Daily Performance - Current'!$I:$I,'Daily Performance - Current'!$B:$B,A10,'Daily Performance - Current'!$E:$E,B10)*D10</f>
        <v/>
      </c>
      <c r="G10" s="9">
        <f>IFERROR(F10/E10,0)</f>
        <v/>
      </c>
      <c r="H10" s="8">
        <f>SUMIFS('Daily Performance - Current'!$L:$L,'Daily Performance - Current'!$B:$B,A10,'Daily Performance - Current'!$E:$E,B10)*D10</f>
        <v/>
      </c>
      <c r="I10" s="5" t="inlineStr"/>
    </row>
    <row r="11">
      <c r="A11" s="5" t="inlineStr">
        <is>
          <t>Lumiere Skincare</t>
        </is>
      </c>
      <c r="B11" s="5" t="inlineStr">
        <is>
          <t>Pinterest</t>
        </is>
      </c>
      <c r="C11" s="5" t="inlineStr">
        <is>
          <t>Text</t>
        </is>
      </c>
      <c r="D11" s="11" t="n">
        <v>0.2</v>
      </c>
      <c r="E11" s="8">
        <f>SUMIFS('Daily Performance - Current'!$H:$H,'Daily Performance - Current'!$B:$B,A11,'Daily Performance - Current'!$E:$E,B11)*D11</f>
        <v/>
      </c>
      <c r="F11" s="8">
        <f>SUMIFS('Daily Performance - Current'!$I:$I,'Daily Performance - Current'!$B:$B,A11,'Daily Performance - Current'!$E:$E,B11)*D11</f>
        <v/>
      </c>
      <c r="G11" s="9">
        <f>IFERROR(F11/E11,0)</f>
        <v/>
      </c>
      <c r="H11" s="8">
        <f>SUMIFS('Daily Performance - Current'!$L:$L,'Daily Performance - Current'!$B:$B,A11,'Daily Performance - Current'!$E:$E,B11)*D11</f>
        <v/>
      </c>
      <c r="I11" s="5" t="inlineStr"/>
    </row>
    <row r="12">
      <c r="A12" s="5" t="inlineStr">
        <is>
          <t>Lumiere Skincare</t>
        </is>
      </c>
      <c r="B12" s="5" t="inlineStr">
        <is>
          <t>Pinterest</t>
        </is>
      </c>
      <c r="C12" s="5" t="inlineStr">
        <is>
          <t>Image</t>
        </is>
      </c>
      <c r="D12" s="11" t="n">
        <v>0.4</v>
      </c>
      <c r="E12" s="8">
        <f>SUMIFS('Daily Performance - Current'!$H:$H,'Daily Performance - Current'!$B:$B,A12,'Daily Performance - Current'!$E:$E,B12)*D12</f>
        <v/>
      </c>
      <c r="F12" s="8">
        <f>SUMIFS('Daily Performance - Current'!$I:$I,'Daily Performance - Current'!$B:$B,A12,'Daily Performance - Current'!$E:$E,B12)*D12</f>
        <v/>
      </c>
      <c r="G12" s="9">
        <f>IFERROR(F12/E12,0)</f>
        <v/>
      </c>
      <c r="H12" s="8">
        <f>SUMIFS('Daily Performance - Current'!$L:$L,'Daily Performance - Current'!$B:$B,A12,'Daily Performance - Current'!$E:$E,B12)*D12</f>
        <v/>
      </c>
      <c r="I12" s="5" t="inlineStr"/>
    </row>
    <row r="13">
      <c r="A13" s="5" t="inlineStr">
        <is>
          <t>Lumiere Skincare</t>
        </is>
      </c>
      <c r="B13" s="5" t="inlineStr">
        <is>
          <t>Pinterest</t>
        </is>
      </c>
      <c r="C13" s="5" t="inlineStr">
        <is>
          <t>Video</t>
        </is>
      </c>
      <c r="D13" s="11" t="n">
        <v>0.4</v>
      </c>
      <c r="E13" s="8">
        <f>SUMIFS('Daily Performance - Current'!$H:$H,'Daily Performance - Current'!$B:$B,A13,'Daily Performance - Current'!$E:$E,B13)*D13</f>
        <v/>
      </c>
      <c r="F13" s="8">
        <f>SUMIFS('Daily Performance - Current'!$I:$I,'Daily Performance - Current'!$B:$B,A13,'Daily Performance - Current'!$E:$E,B13)*D13</f>
        <v/>
      </c>
      <c r="G13" s="9">
        <f>IFERROR(F13/E13,0)</f>
        <v/>
      </c>
      <c r="H13" s="8">
        <f>SUMIFS('Daily Performance - Current'!$L:$L,'Daily Performance - Current'!$B:$B,A13,'Daily Performance - Current'!$E:$E,B13)*D13</f>
        <v/>
      </c>
      <c r="I13" s="5" t="inlineStr"/>
    </row>
    <row r="14">
      <c r="A14" s="5" t="inlineStr">
        <is>
          <t>Solara Fitband</t>
        </is>
      </c>
      <c r="B14" s="5" t="inlineStr">
        <is>
          <t>Google Ads</t>
        </is>
      </c>
      <c r="C14" s="5" t="inlineStr">
        <is>
          <t>Text</t>
        </is>
      </c>
      <c r="D14" s="11" t="n">
        <v>0.2</v>
      </c>
      <c r="E14" s="8">
        <f>SUMIFS('Daily Performance - Current'!$H:$H,'Daily Performance - Current'!$B:$B,A14,'Daily Performance - Current'!$E:$E,B14)*D14</f>
        <v/>
      </c>
      <c r="F14" s="8">
        <f>SUMIFS('Daily Performance - Current'!$I:$I,'Daily Performance - Current'!$B:$B,A14,'Daily Performance - Current'!$E:$E,B14)*D14</f>
        <v/>
      </c>
      <c r="G14" s="9">
        <f>IFERROR(F14/E14,0)</f>
        <v/>
      </c>
      <c r="H14" s="8">
        <f>SUMIFS('Daily Performance - Current'!$L:$L,'Daily Performance - Current'!$B:$B,A14,'Daily Performance - Current'!$E:$E,B14)*D14</f>
        <v/>
      </c>
      <c r="I14" s="5" t="inlineStr"/>
    </row>
    <row r="15">
      <c r="A15" s="5" t="inlineStr">
        <is>
          <t>Solara Fitband</t>
        </is>
      </c>
      <c r="B15" s="5" t="inlineStr">
        <is>
          <t>Google Ads</t>
        </is>
      </c>
      <c r="C15" s="5" t="inlineStr">
        <is>
          <t>Image</t>
        </is>
      </c>
      <c r="D15" s="11" t="n">
        <v>0.35</v>
      </c>
      <c r="E15" s="8">
        <f>SUMIFS('Daily Performance - Current'!$H:$H,'Daily Performance - Current'!$B:$B,A15,'Daily Performance - Current'!$E:$E,B15)*D15</f>
        <v/>
      </c>
      <c r="F15" s="8">
        <f>SUMIFS('Daily Performance - Current'!$I:$I,'Daily Performance - Current'!$B:$B,A15,'Daily Performance - Current'!$E:$E,B15)*D15</f>
        <v/>
      </c>
      <c r="G15" s="9">
        <f>IFERROR(F15/E15,0)</f>
        <v/>
      </c>
      <c r="H15" s="8">
        <f>SUMIFS('Daily Performance - Current'!$L:$L,'Daily Performance - Current'!$B:$B,A15,'Daily Performance - Current'!$E:$E,B15)*D15</f>
        <v/>
      </c>
      <c r="I15" s="5" t="inlineStr"/>
    </row>
    <row r="16">
      <c r="A16" s="5" t="inlineStr">
        <is>
          <t>Solara Fitband</t>
        </is>
      </c>
      <c r="B16" s="5" t="inlineStr">
        <is>
          <t>Google Ads</t>
        </is>
      </c>
      <c r="C16" s="5" t="inlineStr">
        <is>
          <t>Video</t>
        </is>
      </c>
      <c r="D16" s="11" t="n">
        <v>0.45</v>
      </c>
      <c r="E16" s="8">
        <f>SUMIFS('Daily Performance - Current'!$H:$H,'Daily Performance - Current'!$B:$B,A16,'Daily Performance - Current'!$E:$E,B16)*D16</f>
        <v/>
      </c>
      <c r="F16" s="8">
        <f>SUMIFS('Daily Performance - Current'!$I:$I,'Daily Performance - Current'!$B:$B,A16,'Daily Performance - Current'!$E:$E,B16)*D16</f>
        <v/>
      </c>
      <c r="G16" s="9">
        <f>IFERROR(F16/E16,0)</f>
        <v/>
      </c>
      <c r="H16" s="8">
        <f>SUMIFS('Daily Performance - Current'!$L:$L,'Daily Performance - Current'!$B:$B,A16,'Daily Performance - Current'!$E:$E,B16)*D16</f>
        <v/>
      </c>
      <c r="I16" s="5" t="inlineStr"/>
    </row>
    <row r="17">
      <c r="A17" s="5" t="inlineStr">
        <is>
          <t>Solara Fitband</t>
        </is>
      </c>
      <c r="B17" s="5" t="inlineStr">
        <is>
          <t>Facebook</t>
        </is>
      </c>
      <c r="C17" s="5" t="inlineStr">
        <is>
          <t>Text</t>
        </is>
      </c>
      <c r="D17" s="11" t="n">
        <v>0.2</v>
      </c>
      <c r="E17" s="8">
        <f>SUMIFS('Daily Performance - Current'!$H:$H,'Daily Performance - Current'!$B:$B,A17,'Daily Performance - Current'!$E:$E,B17)*D17</f>
        <v/>
      </c>
      <c r="F17" s="8">
        <f>SUMIFS('Daily Performance - Current'!$I:$I,'Daily Performance - Current'!$B:$B,A17,'Daily Performance - Current'!$E:$E,B17)*D17</f>
        <v/>
      </c>
      <c r="G17" s="9">
        <f>IFERROR(F17/E17,0)</f>
        <v/>
      </c>
      <c r="H17" s="8">
        <f>SUMIFS('Daily Performance - Current'!$L:$L,'Daily Performance - Current'!$B:$B,A17,'Daily Performance - Current'!$E:$E,B17)*D17</f>
        <v/>
      </c>
      <c r="I17" s="5" t="inlineStr"/>
    </row>
    <row r="18">
      <c r="A18" s="5" t="inlineStr">
        <is>
          <t>Solara Fitband</t>
        </is>
      </c>
      <c r="B18" s="5" t="inlineStr">
        <is>
          <t>Facebook</t>
        </is>
      </c>
      <c r="C18" s="5" t="inlineStr">
        <is>
          <t>Image</t>
        </is>
      </c>
      <c r="D18" s="11" t="n">
        <v>0.35</v>
      </c>
      <c r="E18" s="8">
        <f>SUMIFS('Daily Performance - Current'!$H:$H,'Daily Performance - Current'!$B:$B,A18,'Daily Performance - Current'!$E:$E,B18)*D18</f>
        <v/>
      </c>
      <c r="F18" s="8">
        <f>SUMIFS('Daily Performance - Current'!$I:$I,'Daily Performance - Current'!$B:$B,A18,'Daily Performance - Current'!$E:$E,B18)*D18</f>
        <v/>
      </c>
      <c r="G18" s="9">
        <f>IFERROR(F18/E18,0)</f>
        <v/>
      </c>
      <c r="H18" s="8">
        <f>SUMIFS('Daily Performance - Current'!$L:$L,'Daily Performance - Current'!$B:$B,A18,'Daily Performance - Current'!$E:$E,B18)*D18</f>
        <v/>
      </c>
      <c r="I18" s="5" t="inlineStr"/>
    </row>
    <row r="19">
      <c r="A19" s="5" t="inlineStr">
        <is>
          <t>Solara Fitband</t>
        </is>
      </c>
      <c r="B19" s="5" t="inlineStr">
        <is>
          <t>Facebook</t>
        </is>
      </c>
      <c r="C19" s="5" t="inlineStr">
        <is>
          <t>Video</t>
        </is>
      </c>
      <c r="D19" s="11" t="n">
        <v>0.45</v>
      </c>
      <c r="E19" s="8">
        <f>SUMIFS('Daily Performance - Current'!$H:$H,'Daily Performance - Current'!$B:$B,A19,'Daily Performance - Current'!$E:$E,B19)*D19</f>
        <v/>
      </c>
      <c r="F19" s="8">
        <f>SUMIFS('Daily Performance - Current'!$I:$I,'Daily Performance - Current'!$B:$B,A19,'Daily Performance - Current'!$E:$E,B19)*D19</f>
        <v/>
      </c>
      <c r="G19" s="9">
        <f>IFERROR(F19/E19,0)</f>
        <v/>
      </c>
      <c r="H19" s="8">
        <f>SUMIFS('Daily Performance - Current'!$L:$L,'Daily Performance - Current'!$B:$B,A19,'Daily Performance - Current'!$E:$E,B19)*D19</f>
        <v/>
      </c>
      <c r="I19" s="5" t="inlineStr"/>
    </row>
    <row r="20">
      <c r="A20" s="5" t="inlineStr">
        <is>
          <t>Aurelia Jewellery</t>
        </is>
      </c>
      <c r="B20" s="5" t="inlineStr">
        <is>
          <t>Instagram</t>
        </is>
      </c>
      <c r="C20" s="5" t="inlineStr">
        <is>
          <t>Text</t>
        </is>
      </c>
      <c r="D20" s="11" t="n">
        <v>0.15</v>
      </c>
      <c r="E20" s="8">
        <f>SUMIFS('Daily Performance - Current'!$H:$H,'Daily Performance - Current'!$B:$B,A20,'Daily Performance - Current'!$E:$E,B20)*D20</f>
        <v/>
      </c>
      <c r="F20" s="8">
        <f>SUMIFS('Daily Performance - Current'!$I:$I,'Daily Performance - Current'!$B:$B,A20,'Daily Performance - Current'!$E:$E,B20)*D20</f>
        <v/>
      </c>
      <c r="G20" s="9">
        <f>IFERROR(F20/E20,0)</f>
        <v/>
      </c>
      <c r="H20" s="8">
        <f>SUMIFS('Daily Performance - Current'!$L:$L,'Daily Performance - Current'!$B:$B,A20,'Daily Performance - Current'!$E:$E,B20)*D20</f>
        <v/>
      </c>
      <c r="I20" s="5" t="inlineStr"/>
    </row>
    <row r="21">
      <c r="A21" s="5" t="inlineStr">
        <is>
          <t>Aurelia Jewellery</t>
        </is>
      </c>
      <c r="B21" s="5" t="inlineStr">
        <is>
          <t>Instagram</t>
        </is>
      </c>
      <c r="C21" s="5" t="inlineStr">
        <is>
          <t>Image</t>
        </is>
      </c>
      <c r="D21" s="11" t="n">
        <v>0.4</v>
      </c>
      <c r="E21" s="8">
        <f>SUMIFS('Daily Performance - Current'!$H:$H,'Daily Performance - Current'!$B:$B,A21,'Daily Performance - Current'!$E:$E,B21)*D21</f>
        <v/>
      </c>
      <c r="F21" s="8">
        <f>SUMIFS('Daily Performance - Current'!$I:$I,'Daily Performance - Current'!$B:$B,A21,'Daily Performance - Current'!$E:$E,B21)*D21</f>
        <v/>
      </c>
      <c r="G21" s="9">
        <f>IFERROR(F21/E21,0)</f>
        <v/>
      </c>
      <c r="H21" s="8">
        <f>SUMIFS('Daily Performance - Current'!$L:$L,'Daily Performance - Current'!$B:$B,A21,'Daily Performance - Current'!$E:$E,B21)*D21</f>
        <v/>
      </c>
      <c r="I21" s="5" t="inlineStr"/>
    </row>
    <row r="22">
      <c r="A22" s="5" t="inlineStr">
        <is>
          <t>Aurelia Jewellery</t>
        </is>
      </c>
      <c r="B22" s="5" t="inlineStr">
        <is>
          <t>Instagram</t>
        </is>
      </c>
      <c r="C22" s="5" t="inlineStr">
        <is>
          <t>Video</t>
        </is>
      </c>
      <c r="D22" s="11" t="n">
        <v>0.45</v>
      </c>
      <c r="E22" s="8">
        <f>SUMIFS('Daily Performance - Current'!$H:$H,'Daily Performance - Current'!$B:$B,A22,'Daily Performance - Current'!$E:$E,B22)*D22</f>
        <v/>
      </c>
      <c r="F22" s="8">
        <f>SUMIFS('Daily Performance - Current'!$I:$I,'Daily Performance - Current'!$B:$B,A22,'Daily Performance - Current'!$E:$E,B22)*D22</f>
        <v/>
      </c>
      <c r="G22" s="9">
        <f>IFERROR(F22/E22,0)</f>
        <v/>
      </c>
      <c r="H22" s="8">
        <f>SUMIFS('Daily Performance - Current'!$L:$L,'Daily Performance - Current'!$B:$B,A22,'Daily Performance - Current'!$E:$E,B22)*D22</f>
        <v/>
      </c>
      <c r="I22" s="5" t="inlineStr">
        <is>
          <t>Required creative type for this product -- luxury storytelling</t>
        </is>
      </c>
    </row>
    <row r="23">
      <c r="A23" s="5" t="inlineStr">
        <is>
          <t>Aurelia Jewellery</t>
        </is>
      </c>
      <c r="B23" s="5" t="inlineStr">
        <is>
          <t>Pinterest</t>
        </is>
      </c>
      <c r="C23" s="5" t="inlineStr">
        <is>
          <t>Text</t>
        </is>
      </c>
      <c r="D23" s="11" t="n">
        <v>0.15</v>
      </c>
      <c r="E23" s="8">
        <f>SUMIFS('Daily Performance - Current'!$H:$H,'Daily Performance - Current'!$B:$B,A23,'Daily Performance - Current'!$E:$E,B23)*D23</f>
        <v/>
      </c>
      <c r="F23" s="8">
        <f>SUMIFS('Daily Performance - Current'!$I:$I,'Daily Performance - Current'!$B:$B,A23,'Daily Performance - Current'!$E:$E,B23)*D23</f>
        <v/>
      </c>
      <c r="G23" s="9">
        <f>IFERROR(F23/E23,0)</f>
        <v/>
      </c>
      <c r="H23" s="8">
        <f>SUMIFS('Daily Performance - Current'!$L:$L,'Daily Performance - Current'!$B:$B,A23,'Daily Performance - Current'!$E:$E,B23)*D23</f>
        <v/>
      </c>
      <c r="I23" s="5" t="inlineStr"/>
    </row>
    <row r="24">
      <c r="A24" s="5" t="inlineStr">
        <is>
          <t>Aurelia Jewellery</t>
        </is>
      </c>
      <c r="B24" s="5" t="inlineStr">
        <is>
          <t>Pinterest</t>
        </is>
      </c>
      <c r="C24" s="5" t="inlineStr">
        <is>
          <t>Image</t>
        </is>
      </c>
      <c r="D24" s="11" t="n">
        <v>0.4</v>
      </c>
      <c r="E24" s="8">
        <f>SUMIFS('Daily Performance - Current'!$H:$H,'Daily Performance - Current'!$B:$B,A24,'Daily Performance - Current'!$E:$E,B24)*D24</f>
        <v/>
      </c>
      <c r="F24" s="8">
        <f>SUMIFS('Daily Performance - Current'!$I:$I,'Daily Performance - Current'!$B:$B,A24,'Daily Performance - Current'!$E:$E,B24)*D24</f>
        <v/>
      </c>
      <c r="G24" s="9">
        <f>IFERROR(F24/E24,0)</f>
        <v/>
      </c>
      <c r="H24" s="8">
        <f>SUMIFS('Daily Performance - Current'!$L:$L,'Daily Performance - Current'!$B:$B,A24,'Daily Performance - Current'!$E:$E,B24)*D24</f>
        <v/>
      </c>
      <c r="I24" s="5" t="inlineStr"/>
    </row>
    <row r="25">
      <c r="A25" s="5" t="inlineStr">
        <is>
          <t>Aurelia Jewellery</t>
        </is>
      </c>
      <c r="B25" s="5" t="inlineStr">
        <is>
          <t>Pinterest</t>
        </is>
      </c>
      <c r="C25" s="5" t="inlineStr">
        <is>
          <t>Video</t>
        </is>
      </c>
      <c r="D25" s="11" t="n">
        <v>0.45</v>
      </c>
      <c r="E25" s="8">
        <f>SUMIFS('Daily Performance - Current'!$H:$H,'Daily Performance - Current'!$B:$B,A25,'Daily Performance - Current'!$E:$E,B25)*D25</f>
        <v/>
      </c>
      <c r="F25" s="8">
        <f>SUMIFS('Daily Performance - Current'!$I:$I,'Daily Performance - Current'!$B:$B,A25,'Daily Performance - Current'!$E:$E,B25)*D25</f>
        <v/>
      </c>
      <c r="G25" s="9">
        <f>IFERROR(F25/E25,0)</f>
        <v/>
      </c>
      <c r="H25" s="8">
        <f>SUMIFS('Daily Performance - Current'!$L:$L,'Daily Performance - Current'!$B:$B,A25,'Daily Performance - Current'!$E:$E,B25)*D25</f>
        <v/>
      </c>
      <c r="I25" s="5" t="inlineStr">
        <is>
          <t>Required creative type for this product -- luxury storytelling</t>
        </is>
      </c>
    </row>
    <row r="26">
      <c r="A26" s="5" t="inlineStr">
        <is>
          <t>Aurelia Jewellery</t>
        </is>
      </c>
      <c r="B26" s="5" t="inlineStr">
        <is>
          <t>Google Ads</t>
        </is>
      </c>
      <c r="C26" s="5" t="inlineStr">
        <is>
          <t>Text</t>
        </is>
      </c>
      <c r="D26" s="11" t="n">
        <v>0.15</v>
      </c>
      <c r="E26" s="8">
        <f>SUMIFS('Daily Performance - Current'!$H:$H,'Daily Performance - Current'!$B:$B,A26,'Daily Performance - Current'!$E:$E,B26)*D26</f>
        <v/>
      </c>
      <c r="F26" s="8">
        <f>SUMIFS('Daily Performance - Current'!$I:$I,'Daily Performance - Current'!$B:$B,A26,'Daily Performance - Current'!$E:$E,B26)*D26</f>
        <v/>
      </c>
      <c r="G26" s="9">
        <f>IFERROR(F26/E26,0)</f>
        <v/>
      </c>
      <c r="H26" s="8">
        <f>SUMIFS('Daily Performance - Current'!$L:$L,'Daily Performance - Current'!$B:$B,A26,'Daily Performance - Current'!$E:$E,B26)*D26</f>
        <v/>
      </c>
      <c r="I26" s="5" t="inlineStr"/>
    </row>
    <row r="27">
      <c r="A27" s="5" t="inlineStr">
        <is>
          <t>Aurelia Jewellery</t>
        </is>
      </c>
      <c r="B27" s="5" t="inlineStr">
        <is>
          <t>Google Ads</t>
        </is>
      </c>
      <c r="C27" s="5" t="inlineStr">
        <is>
          <t>Image</t>
        </is>
      </c>
      <c r="D27" s="11" t="n">
        <v>0.4</v>
      </c>
      <c r="E27" s="8">
        <f>SUMIFS('Daily Performance - Current'!$H:$H,'Daily Performance - Current'!$B:$B,A27,'Daily Performance - Current'!$E:$E,B27)*D27</f>
        <v/>
      </c>
      <c r="F27" s="8">
        <f>SUMIFS('Daily Performance - Current'!$I:$I,'Daily Performance - Current'!$B:$B,A27,'Daily Performance - Current'!$E:$E,B27)*D27</f>
        <v/>
      </c>
      <c r="G27" s="9">
        <f>IFERROR(F27/E27,0)</f>
        <v/>
      </c>
      <c r="H27" s="8">
        <f>SUMIFS('Daily Performance - Current'!$L:$L,'Daily Performance - Current'!$B:$B,A27,'Daily Performance - Current'!$E:$E,B27)*D27</f>
        <v/>
      </c>
      <c r="I27" s="5" t="inlineStr"/>
    </row>
    <row r="28">
      <c r="A28" s="5" t="inlineStr">
        <is>
          <t>Aurelia Jewellery</t>
        </is>
      </c>
      <c r="B28" s="5" t="inlineStr">
        <is>
          <t>Google Ads</t>
        </is>
      </c>
      <c r="C28" s="5" t="inlineStr">
        <is>
          <t>Video</t>
        </is>
      </c>
      <c r="D28" s="11" t="n">
        <v>0.45</v>
      </c>
      <c r="E28" s="8">
        <f>SUMIFS('Daily Performance - Current'!$H:$H,'Daily Performance - Current'!$B:$B,A28,'Daily Performance - Current'!$E:$E,B28)*D28</f>
        <v/>
      </c>
      <c r="F28" s="8">
        <f>SUMIFS('Daily Performance - Current'!$I:$I,'Daily Performance - Current'!$B:$B,A28,'Daily Performance - Current'!$E:$E,B28)*D28</f>
        <v/>
      </c>
      <c r="G28" s="9">
        <f>IFERROR(F28/E28,0)</f>
        <v/>
      </c>
      <c r="H28" s="8">
        <f>SUMIFS('Daily Performance - Current'!$L:$L,'Daily Performance - Current'!$B:$B,A28,'Daily Performance - Current'!$E:$E,B28)*D28</f>
        <v/>
      </c>
      <c r="I28" s="5" t="inlineStr">
        <is>
          <t>Required creative type for this product -- luxury storytelling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46" customWidth="1" min="3" max="3"/>
    <col width="18" customWidth="1" min="4" max="4"/>
    <col width="18" customWidth="1" min="5" max="5"/>
    <col width="14" customWidth="1" min="6" max="6"/>
  </cols>
  <sheetData>
    <row r="1">
      <c r="A1" s="4" t="inlineStr">
        <is>
          <t>Product</t>
        </is>
      </c>
      <c r="B1" s="4" t="inlineStr">
        <is>
          <t>What We Saw Last Quarter</t>
        </is>
      </c>
      <c r="C1" s="4" t="inlineStr">
        <is>
          <t>What We Changed This Quarter</t>
        </is>
      </c>
      <c r="D1" s="4" t="inlineStr">
        <is>
          <t>Historical Revenue (INR)</t>
        </is>
      </c>
      <c r="E1" s="4" t="inlineStr">
        <is>
          <t>Current Revenue (INR)</t>
        </is>
      </c>
      <c r="F1" s="4" t="inlineStr">
        <is>
          <t>% Improvement</t>
        </is>
      </c>
    </row>
    <row r="2" ht="60" customHeight="1">
      <c r="A2" s="12" t="inlineStr">
        <is>
          <t>Vantage CRM</t>
        </is>
      </c>
      <c r="B2" s="13" t="inlineStr">
        <is>
          <t>Static carousel ads underperformed on thought-leadership topics; SQL rate lagged despite decent lead volume.</t>
        </is>
      </c>
      <c r="C2" s="13" t="inlineStr">
        <is>
          <t>Shifted budget toward video testimonials and a gated ROI-calculator whitepaper CTA to pull in higher-intent leads.</t>
        </is>
      </c>
      <c r="D2" s="14">
        <f>SUMIF('Daily Performance - Historical'!$B:$B,A2,'Daily Performance - Historical'!$R:$R)</f>
        <v/>
      </c>
      <c r="E2" s="14">
        <f>SUMIF('Daily Performance - Current'!$B:$B,A2,'Daily Performance - Current'!$R:$R)</f>
        <v/>
      </c>
      <c r="F2" s="15">
        <f>IFERROR((E2-D2)/D2,0)</f>
        <v/>
      </c>
    </row>
    <row r="3" ht="60" customHeight="1">
      <c r="A3" s="12" t="inlineStr">
        <is>
          <t>Lumiere Skincare</t>
        </is>
      </c>
      <c r="B3" s="13" t="inlineStr">
        <is>
          <t>Pinterest drove disproportionately high-intent traffic (best conversion rate of the 3 channels) despite the smallest budget share.</t>
        </is>
      </c>
      <c r="C3" s="13" t="inlineStr">
        <is>
          <t>Reallocated ~35% of Facebook's budget into Pinterest and added UGC-style short video across all three channels.</t>
        </is>
      </c>
      <c r="D3" s="14">
        <f>SUMIF('Daily Performance - Historical'!$B:$B,A3,'Daily Performance - Historical'!$R:$R)</f>
        <v/>
      </c>
      <c r="E3" s="14">
        <f>SUMIF('Daily Performance - Current'!$B:$B,A3,'Daily Performance - Current'!$R:$R)</f>
        <v/>
      </c>
      <c r="F3" s="15">
        <f>IFERROR((E3-D3)/D3,0)</f>
        <v/>
      </c>
    </row>
    <row r="4" ht="60" customHeight="1">
      <c r="A4" s="12" t="inlineStr">
        <is>
          <t>Solara Fitband</t>
        </is>
      </c>
      <c r="B4" s="13" t="inlineStr">
        <is>
          <t>Generic feature-focused ad copy ('heart-rate tracking', 'GPS built-in') underperformed vs. outcome-focused messaging.</t>
        </is>
      </c>
      <c r="C4" s="13" t="inlineStr">
        <is>
          <t>Rewrote all creative around outcomes ('reach your 10K-step goal') and added 15-second product-demo video across both channels.</t>
        </is>
      </c>
      <c r="D4" s="14">
        <f>SUMIF('Daily Performance - Historical'!$B:$B,A4,'Daily Performance - Historical'!$R:$R)</f>
        <v/>
      </c>
      <c r="E4" s="14">
        <f>SUMIF('Daily Performance - Current'!$B:$B,A4,'Daily Performance - Current'!$R:$R)</f>
        <v/>
      </c>
      <c r="F4" s="15">
        <f>IFERROR((E4-D4)/D4,0)</f>
        <v/>
      </c>
    </row>
    <row r="5" ht="60" customHeight="1">
      <c r="A5" s="12" t="inlineStr">
        <is>
          <t>Aurelia Jewellery</t>
        </is>
      </c>
      <c r="B5" s="13" t="inlineStr">
        <is>
          <t>Static product-shot images underperformed for a high-consideration luxury purchase -- low engagement, long time-on-decision.</t>
        </is>
      </c>
      <c r="C5" s="13" t="inlineStr">
        <is>
          <t>Introduced cinematic video creative showcasing craftsmanship and provenance storytelling across all three channels.</t>
        </is>
      </c>
      <c r="D5" s="14">
        <f>SUMIF('Daily Performance - Historical'!$B:$B,A5,'Daily Performance - Historical'!$R:$R)</f>
        <v/>
      </c>
      <c r="E5" s="14">
        <f>SUMIF('Daily Performance - Current'!$B:$B,A5,'Daily Performance - Current'!$R:$R)</f>
        <v/>
      </c>
      <c r="F5" s="15">
        <f>IFERROR((E5-D5)/D5,0)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2026-08-25T05:52:18Z</dcterms:created>
  <dcterms:modified xmlns:dcterms="http://purl.org/dc/terms/" xmlns:xsi="http://www.w3.org/2001/XMLSchema-instance" xsi:type="dcterms:W3CDTF">2026-08-25T05:52:19Z</dcterms:modified>
</cp:coreProperties>
</file>